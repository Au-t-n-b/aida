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JD三期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宋体"/>
      <charset val="134"/>
      <family val="3"/>
      <sz val="9"/>
    </font>
    <font>
      <name val="黑体"/>
      <charset val="134"/>
      <family val="3"/>
      <b val="1"/>
      <sz val="11"/>
    </font>
    <font>
      <name val="黑体"/>
      <charset val="134"/>
      <family val="3"/>
      <color theme="6" tint="-0.249977111117893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14" fontId="4" fillId="3" borderId="1" applyAlignment="1" pivotButton="0" quotePrefix="0" xfId="0">
      <alignment horizontal="center" vertical="center"/>
    </xf>
    <xf numFmtId="14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tabSelected="1" workbookViewId="0">
      <selection activeCell="L10" sqref="L10"/>
    </sheetView>
  </sheetViews>
  <sheetFormatPr baseColWidth="8" defaultRowHeight="14"/>
  <cols>
    <col width="3.1640625" bestFit="1" customWidth="1" style="1" min="1" max="1"/>
    <col width="15.6640625" bestFit="1" customWidth="1" style="1" min="2" max="2"/>
    <col width="10.4140625" bestFit="1" customWidth="1" style="1" min="3" max="3"/>
    <col width="30.08203125" bestFit="1" customWidth="1" style="1" min="4" max="4"/>
    <col width="16.1640625" bestFit="1" customWidth="1" style="1" min="5" max="5"/>
    <col width="5" bestFit="1" customWidth="1" style="1" min="6" max="6"/>
    <col width="5.1640625" bestFit="1" customWidth="1" style="1" min="7" max="7"/>
    <col width="9.4140625" bestFit="1" customWidth="1" style="1" min="8" max="8"/>
    <col width="5" customWidth="1" style="1" min="9" max="9"/>
    <col width="14.58203125" customWidth="1" style="1" min="10" max="10"/>
    <col width="8.6640625" customWidth="1" style="1" min="11" max="16384"/>
  </cols>
  <sheetData>
    <row r="1">
      <c r="A1" s="2" t="inlineStr">
        <is>
          <t>ID</t>
        </is>
      </c>
      <c r="B1" s="2" t="inlineStr">
        <is>
          <t>管理单元</t>
        </is>
      </c>
      <c r="C1" s="2" t="inlineStr">
        <is>
          <t>设备类型</t>
        </is>
      </c>
      <c r="D1" s="2" t="inlineStr">
        <is>
          <t>型号</t>
        </is>
      </c>
      <c r="E1" s="2" t="inlineStr">
        <is>
          <t>总配置</t>
        </is>
      </c>
      <c r="F1" s="2" t="inlineStr">
        <is>
          <t>单位</t>
        </is>
      </c>
      <c r="G1" s="2" t="inlineStr">
        <is>
          <t>数量</t>
        </is>
      </c>
      <c r="H1" s="2" t="inlineStr">
        <is>
          <t>到货日期</t>
        </is>
      </c>
      <c r="I1" s="2" t="inlineStr">
        <is>
          <t>备注</t>
        </is>
      </c>
      <c r="J1" s="2" t="inlineStr">
        <is>
          <t>机房</t>
        </is>
      </c>
      <c r="K1" s="2" t="inlineStr">
        <is>
          <t>PoD</t>
        </is>
      </c>
    </row>
    <row r="2">
      <c r="A2" s="4" t="n">
        <v>1</v>
      </c>
      <c r="B2" s="4" t="inlineStr">
        <is>
          <t>B2DH401-POD01</t>
        </is>
      </c>
      <c r="C2" s="4" t="inlineStr">
        <is>
          <t>灵衢线缆</t>
        </is>
      </c>
      <c r="D2" s="4" t="inlineStr">
        <is>
          <t>400G MPO线缆</t>
        </is>
      </c>
      <c r="E2" s="4" t="n"/>
      <c r="F2" s="4" t="inlineStr">
        <is>
          <t>根</t>
        </is>
      </c>
      <c r="G2" s="4" t="n">
        <v>2688</v>
      </c>
      <c r="H2" s="3" t="n"/>
      <c r="I2" s="4" t="n"/>
      <c r="J2" s="9">
        <f>LEFT(B2, FIND("-", B2) - 1)</f>
        <v/>
      </c>
      <c r="K2" s="9">
        <f>RIGHT(B2, LEN(B2) - FIND("-", B2))</f>
        <v/>
      </c>
    </row>
    <row r="3">
      <c r="A3" s="4" t="n">
        <v>2</v>
      </c>
      <c r="B3" s="4" t="inlineStr">
        <is>
          <t>B2DH401-POD01</t>
        </is>
      </c>
      <c r="C3" s="4" t="inlineStr">
        <is>
          <t>计算柜</t>
        </is>
      </c>
      <c r="D3" s="4" t="inlineStr">
        <is>
          <t>Atlas 900 A3 SuperPoD计算柜</t>
        </is>
      </c>
      <c r="E3" s="4" t="inlineStr">
        <is>
          <t>48*Atlas 900 A3</t>
        </is>
      </c>
      <c r="F3" s="4" t="inlineStr">
        <is>
          <t>柜</t>
        </is>
      </c>
      <c r="G3" s="4" t="n">
        <v>12</v>
      </c>
      <c r="H3" s="8" t="n"/>
      <c r="I3" s="4" t="n"/>
      <c r="J3" s="9">
        <f>LEFT(B3, FIND("-", B3) - 1)</f>
        <v/>
      </c>
      <c r="K3" s="9">
        <f>RIGHT(B3, LEN(B3) - FIND("-", B3))</f>
        <v/>
      </c>
    </row>
    <row r="4">
      <c r="A4" s="4" t="n">
        <v>3</v>
      </c>
      <c r="B4" s="4" t="inlineStr">
        <is>
          <t>B2DH401-POD01</t>
        </is>
      </c>
      <c r="C4" s="4" t="inlineStr">
        <is>
          <t>总线设备柜</t>
        </is>
      </c>
      <c r="D4" s="4" t="inlineStr">
        <is>
          <t>Atlas 900 A3 SuperPoD总线设备柜</t>
        </is>
      </c>
      <c r="E4" s="4" t="inlineStr">
        <is>
          <t>56*LingQu 630 V1</t>
        </is>
      </c>
      <c r="F4" s="4" t="inlineStr">
        <is>
          <t>柜</t>
        </is>
      </c>
      <c r="G4" s="4" t="n">
        <v>4</v>
      </c>
      <c r="H4" s="8" t="n"/>
      <c r="I4" s="4" t="n"/>
      <c r="J4" s="9">
        <f>LEFT(B4, FIND("-", B4) - 1)</f>
        <v/>
      </c>
      <c r="K4" s="9">
        <f>RIGHT(B4, LEN(B4) - FIND("-", B4))</f>
        <v/>
      </c>
    </row>
    <row r="5">
      <c r="A5" s="4" t="n">
        <v>4</v>
      </c>
      <c r="B5" s="4" t="inlineStr">
        <is>
          <t>B2DH401-POD01</t>
        </is>
      </c>
      <c r="C5" s="4" t="inlineStr">
        <is>
          <t>网络</t>
        </is>
      </c>
      <c r="D5" s="4" t="inlineStr">
        <is>
          <t>CE9866-128DQ</t>
        </is>
      </c>
      <c r="E5" s="4" t="n"/>
      <c r="F5" s="4" t="inlineStr">
        <is>
          <t>台</t>
        </is>
      </c>
      <c r="G5" s="4" t="n">
        <v>6</v>
      </c>
      <c r="H5" s="8" t="n"/>
      <c r="I5" s="4" t="n"/>
      <c r="J5" s="9">
        <f>LEFT(B5, FIND("-", B5) - 1)</f>
        <v/>
      </c>
      <c r="K5" s="9">
        <f>RIGHT(B5, LEN(B5) - FIND("-", B5))</f>
        <v/>
      </c>
    </row>
    <row r="6">
      <c r="A6" s="4" t="n">
        <v>5</v>
      </c>
      <c r="B6" s="4" t="inlineStr">
        <is>
          <t>B2DH401-POD02</t>
        </is>
      </c>
      <c r="C6" s="4" t="inlineStr">
        <is>
          <t>灵衢线缆</t>
        </is>
      </c>
      <c r="D6" s="4" t="inlineStr">
        <is>
          <t>400G MPO线缆</t>
        </is>
      </c>
      <c r="E6" s="4" t="n"/>
      <c r="F6" s="4" t="inlineStr">
        <is>
          <t>根</t>
        </is>
      </c>
      <c r="G6" s="4" t="n">
        <v>2688</v>
      </c>
      <c r="H6" s="3" t="n"/>
      <c r="I6" s="4" t="n"/>
      <c r="J6" s="9">
        <f>LEFT(B6, FIND("-", B6) - 1)</f>
        <v/>
      </c>
      <c r="K6" s="9">
        <f>RIGHT(B6, LEN(B6) - FIND("-", B6))</f>
        <v/>
      </c>
    </row>
    <row r="7">
      <c r="A7" s="4" t="n">
        <v>6</v>
      </c>
      <c r="B7" s="4" t="inlineStr">
        <is>
          <t>B2DH401-POD02</t>
        </is>
      </c>
      <c r="C7" s="4" t="inlineStr">
        <is>
          <t>计算柜</t>
        </is>
      </c>
      <c r="D7" s="4" t="inlineStr">
        <is>
          <t>Atlas 900 A3 SuperPoD计算柜</t>
        </is>
      </c>
      <c r="E7" s="4" t="inlineStr">
        <is>
          <t>48*Atlas 900 A3</t>
        </is>
      </c>
      <c r="F7" s="4" t="inlineStr">
        <is>
          <t>柜</t>
        </is>
      </c>
      <c r="G7" s="4" t="n">
        <v>12</v>
      </c>
      <c r="H7" s="8" t="n"/>
      <c r="I7" s="4" t="n"/>
      <c r="J7" s="9">
        <f>LEFT(B7, FIND("-", B7) - 1)</f>
        <v/>
      </c>
      <c r="K7" s="9">
        <f>RIGHT(B7, LEN(B7) - FIND("-", B7))</f>
        <v/>
      </c>
    </row>
    <row r="8">
      <c r="A8" s="4" t="n">
        <v>7</v>
      </c>
      <c r="B8" s="4" t="inlineStr">
        <is>
          <t>B2DH401-POD02</t>
        </is>
      </c>
      <c r="C8" s="4" t="inlineStr">
        <is>
          <t>总线设备柜</t>
        </is>
      </c>
      <c r="D8" s="4" t="inlineStr">
        <is>
          <t>Atlas 900 A3 SuperPoD总线设备柜</t>
        </is>
      </c>
      <c r="E8" s="4" t="inlineStr">
        <is>
          <t>56*LingQu 630 V1</t>
        </is>
      </c>
      <c r="F8" s="4" t="inlineStr">
        <is>
          <t>柜</t>
        </is>
      </c>
      <c r="G8" s="4" t="n">
        <v>4</v>
      </c>
      <c r="H8" s="8" t="n"/>
      <c r="I8" s="4" t="n"/>
      <c r="J8" s="9">
        <f>LEFT(B8, FIND("-", B8) - 1)</f>
        <v/>
      </c>
      <c r="K8" s="9">
        <f>RIGHT(B8, LEN(B8) - FIND("-", B8))</f>
        <v/>
      </c>
    </row>
    <row r="9">
      <c r="A9" s="4" t="n">
        <v>8</v>
      </c>
      <c r="B9" s="4" t="inlineStr">
        <is>
          <t>B2DH401-POD02</t>
        </is>
      </c>
      <c r="C9" s="4" t="inlineStr">
        <is>
          <t>网络</t>
        </is>
      </c>
      <c r="D9" s="4" t="inlineStr">
        <is>
          <t>CE9866-128DQ</t>
        </is>
      </c>
      <c r="E9" s="4" t="n"/>
      <c r="F9" s="4" t="inlineStr">
        <is>
          <t>台</t>
        </is>
      </c>
      <c r="G9" s="4" t="n">
        <v>6</v>
      </c>
      <c r="H9" s="8" t="n"/>
      <c r="I9" s="4" t="n"/>
      <c r="J9" s="9">
        <f>LEFT(B9, FIND("-", B9) - 1)</f>
        <v/>
      </c>
      <c r="K9" s="9">
        <f>RIGHT(B9, LEN(B9) - FIND("-", B9))</f>
        <v/>
      </c>
    </row>
    <row r="10">
      <c r="A10" s="4" t="n">
        <v>9</v>
      </c>
      <c r="B10" s="4" t="inlineStr">
        <is>
          <t>B2DH401-POD03</t>
        </is>
      </c>
      <c r="C10" s="4" t="inlineStr">
        <is>
          <t>灵衢线缆</t>
        </is>
      </c>
      <c r="D10" s="4" t="inlineStr">
        <is>
          <t>400G MPO线缆</t>
        </is>
      </c>
      <c r="E10" s="4" t="n"/>
      <c r="F10" s="4" t="inlineStr">
        <is>
          <t>根</t>
        </is>
      </c>
      <c r="G10" s="4" t="n">
        <v>2688</v>
      </c>
      <c r="H10" s="3" t="n"/>
      <c r="I10" s="4" t="n"/>
      <c r="J10" s="9">
        <f>LEFT(B10, FIND("-", B10) - 1)</f>
        <v/>
      </c>
      <c r="K10" s="9">
        <f>RIGHT(B10, LEN(B10) - FIND("-", B10))</f>
        <v/>
      </c>
    </row>
    <row r="11">
      <c r="A11" s="4" t="n">
        <v>10</v>
      </c>
      <c r="B11" s="4" t="inlineStr">
        <is>
          <t>B2DH401-POD03</t>
        </is>
      </c>
      <c r="C11" s="4" t="inlineStr">
        <is>
          <t>计算柜</t>
        </is>
      </c>
      <c r="D11" s="4" t="inlineStr">
        <is>
          <t>Atlas 900 A3 SuperPoD计算柜</t>
        </is>
      </c>
      <c r="E11" s="4" t="inlineStr">
        <is>
          <t>48*Atlas 900 A3</t>
        </is>
      </c>
      <c r="F11" s="4" t="inlineStr">
        <is>
          <t>柜</t>
        </is>
      </c>
      <c r="G11" s="4" t="n">
        <v>12</v>
      </c>
      <c r="H11" s="8" t="n"/>
      <c r="I11" s="4" t="n"/>
      <c r="J11" s="9">
        <f>LEFT(B11, FIND("-", B11) - 1)</f>
        <v/>
      </c>
      <c r="K11" s="9">
        <f>RIGHT(B11, LEN(B11) - FIND("-", B11))</f>
        <v/>
      </c>
    </row>
    <row r="12">
      <c r="A12" s="4" t="n">
        <v>11</v>
      </c>
      <c r="B12" s="4" t="inlineStr">
        <is>
          <t>B2DH401-POD03</t>
        </is>
      </c>
      <c r="C12" s="4" t="inlineStr">
        <is>
          <t>总线设备柜</t>
        </is>
      </c>
      <c r="D12" s="4" t="inlineStr">
        <is>
          <t>Atlas 900 A3 SuperPoD总线设备柜</t>
        </is>
      </c>
      <c r="E12" s="4" t="inlineStr">
        <is>
          <t>56*LingQu 630 V1</t>
        </is>
      </c>
      <c r="F12" s="4" t="inlineStr">
        <is>
          <t>柜</t>
        </is>
      </c>
      <c r="G12" s="4" t="n">
        <v>4</v>
      </c>
      <c r="H12" s="8" t="n"/>
      <c r="I12" s="4" t="n"/>
      <c r="J12" s="9">
        <f>LEFT(B12, FIND("-", B12) - 1)</f>
        <v/>
      </c>
      <c r="K12" s="9">
        <f>RIGHT(B12, LEN(B12) - FIND("-", B12))</f>
        <v/>
      </c>
    </row>
    <row r="13">
      <c r="A13" s="4" t="n">
        <v>12</v>
      </c>
      <c r="B13" s="4" t="inlineStr">
        <is>
          <t>B2DH401-POD03</t>
        </is>
      </c>
      <c r="C13" s="4" t="inlineStr">
        <is>
          <t>网络</t>
        </is>
      </c>
      <c r="D13" s="4" t="inlineStr">
        <is>
          <t>CE9866-128DQ</t>
        </is>
      </c>
      <c r="E13" s="4" t="n"/>
      <c r="F13" s="4" t="inlineStr">
        <is>
          <t>台</t>
        </is>
      </c>
      <c r="G13" s="4" t="n">
        <v>6</v>
      </c>
      <c r="H13" s="8" t="n"/>
      <c r="I13" s="4" t="n"/>
      <c r="J13" s="9">
        <f>LEFT(B13, FIND("-", B13) - 1)</f>
        <v/>
      </c>
      <c r="K13" s="9">
        <f>RIGHT(B13, LEN(B13) - FIND("-", B13))</f>
        <v/>
      </c>
    </row>
    <row r="14">
      <c r="A14" s="4" t="n">
        <v>13</v>
      </c>
      <c r="B14" s="4" t="inlineStr">
        <is>
          <t>B2DH401-POD04</t>
        </is>
      </c>
      <c r="C14" s="4" t="inlineStr">
        <is>
          <t>灵衢线缆</t>
        </is>
      </c>
      <c r="D14" s="4" t="inlineStr">
        <is>
          <t>400G MPO线缆</t>
        </is>
      </c>
      <c r="E14" s="4" t="n"/>
      <c r="F14" s="4" t="inlineStr">
        <is>
          <t>根</t>
        </is>
      </c>
      <c r="G14" s="4" t="n">
        <v>2688</v>
      </c>
      <c r="H14" s="3" t="n"/>
      <c r="I14" s="4" t="n"/>
      <c r="J14" s="9">
        <f>LEFT(B14, FIND("-", B14) - 1)</f>
        <v/>
      </c>
      <c r="K14" s="9">
        <f>RIGHT(B14, LEN(B14) - FIND("-", B14))</f>
        <v/>
      </c>
    </row>
    <row r="15">
      <c r="A15" s="4" t="n">
        <v>14</v>
      </c>
      <c r="B15" s="4" t="inlineStr">
        <is>
          <t>B2DH401-POD04</t>
        </is>
      </c>
      <c r="C15" s="4" t="inlineStr">
        <is>
          <t>计算柜</t>
        </is>
      </c>
      <c r="D15" s="4" t="inlineStr">
        <is>
          <t>Atlas 900 A3 SuperPoD计算柜</t>
        </is>
      </c>
      <c r="E15" s="4" t="inlineStr">
        <is>
          <t>48*Atlas 900 A3</t>
        </is>
      </c>
      <c r="F15" s="4" t="inlineStr">
        <is>
          <t>柜</t>
        </is>
      </c>
      <c r="G15" s="4" t="n">
        <v>12</v>
      </c>
      <c r="H15" s="8" t="n"/>
      <c r="I15" s="4" t="n"/>
      <c r="J15" s="9">
        <f>LEFT(B15, FIND("-", B15) - 1)</f>
        <v/>
      </c>
      <c r="K15" s="9">
        <f>RIGHT(B15, LEN(B15) - FIND("-", B15))</f>
        <v/>
      </c>
    </row>
    <row r="16">
      <c r="A16" s="4" t="n">
        <v>15</v>
      </c>
      <c r="B16" s="4" t="inlineStr">
        <is>
          <t>B2DH401-POD04</t>
        </is>
      </c>
      <c r="C16" s="4" t="inlineStr">
        <is>
          <t>总线设备柜</t>
        </is>
      </c>
      <c r="D16" s="4" t="inlineStr">
        <is>
          <t>Atlas 900 A3 SuperPoD总线设备柜</t>
        </is>
      </c>
      <c r="E16" s="4" t="inlineStr">
        <is>
          <t>56*LingQu 630 V1</t>
        </is>
      </c>
      <c r="F16" s="4" t="inlineStr">
        <is>
          <t>柜</t>
        </is>
      </c>
      <c r="G16" s="4" t="n">
        <v>4</v>
      </c>
      <c r="H16" s="8" t="n"/>
      <c r="I16" s="4" t="n"/>
      <c r="J16" s="9">
        <f>LEFT(B16, FIND("-", B16) - 1)</f>
        <v/>
      </c>
      <c r="K16" s="9">
        <f>RIGHT(B16, LEN(B16) - FIND("-", B16))</f>
        <v/>
      </c>
    </row>
    <row r="17">
      <c r="A17" s="4" t="n">
        <v>16</v>
      </c>
      <c r="B17" s="4" t="inlineStr">
        <is>
          <t>B2DH401-POD04</t>
        </is>
      </c>
      <c r="C17" s="4" t="inlineStr">
        <is>
          <t>网络</t>
        </is>
      </c>
      <c r="D17" s="4" t="inlineStr">
        <is>
          <t>CE9866-128DQ</t>
        </is>
      </c>
      <c r="E17" s="4" t="n"/>
      <c r="F17" s="4" t="inlineStr">
        <is>
          <t>台</t>
        </is>
      </c>
      <c r="G17" s="4" t="n">
        <v>6</v>
      </c>
      <c r="H17" s="8" t="n"/>
      <c r="I17" s="4" t="n"/>
      <c r="J17" s="9">
        <f>LEFT(B17, FIND("-", B17) - 1)</f>
        <v/>
      </c>
      <c r="K17" s="9">
        <f>RIGHT(B17, LEN(B17) - FIND("-", B17))</f>
        <v/>
      </c>
    </row>
    <row r="18">
      <c r="A18" s="5" t="n">
        <v>17</v>
      </c>
      <c r="B18" s="5" t="inlineStr">
        <is>
          <t>B2DH403-POD09</t>
        </is>
      </c>
      <c r="C18" s="5" t="inlineStr">
        <is>
          <t>灵衢线缆</t>
        </is>
      </c>
      <c r="D18" s="5" t="inlineStr">
        <is>
          <t>400G MPO线缆</t>
        </is>
      </c>
      <c r="E18" s="5" t="n"/>
      <c r="F18" s="5" t="inlineStr">
        <is>
          <t>根</t>
        </is>
      </c>
      <c r="G18" s="5" t="n">
        <v>2688</v>
      </c>
      <c r="H18" s="6" t="n"/>
      <c r="I18" s="4" t="n"/>
      <c r="J18" s="9">
        <f>LEFT(B18, FIND("-", B18) - 1)</f>
        <v/>
      </c>
      <c r="K18" s="9">
        <f>RIGHT(B18, LEN(B18) - FIND("-", B18))</f>
        <v/>
      </c>
    </row>
    <row r="19">
      <c r="A19" s="5" t="n">
        <v>18</v>
      </c>
      <c r="B19" s="5" t="inlineStr">
        <is>
          <t>B2DH403-POD09</t>
        </is>
      </c>
      <c r="C19" s="5" t="inlineStr">
        <is>
          <t>计算柜</t>
        </is>
      </c>
      <c r="D19" s="5" t="inlineStr">
        <is>
          <t>Atlas 900 A3 SuperPoD计算柜</t>
        </is>
      </c>
      <c r="E19" s="5" t="inlineStr">
        <is>
          <t>48*Atlas 900 A3</t>
        </is>
      </c>
      <c r="F19" s="5" t="inlineStr">
        <is>
          <t>柜</t>
        </is>
      </c>
      <c r="G19" s="5" t="n">
        <v>12</v>
      </c>
      <c r="H19" s="6" t="n"/>
      <c r="I19" s="4" t="n"/>
      <c r="J19" s="9">
        <f>LEFT(B19, FIND("-", B19) - 1)</f>
        <v/>
      </c>
      <c r="K19" s="9">
        <f>RIGHT(B19, LEN(B19) - FIND("-", B19))</f>
        <v/>
      </c>
    </row>
    <row r="20">
      <c r="A20" s="5" t="n">
        <v>19</v>
      </c>
      <c r="B20" s="5" t="inlineStr">
        <is>
          <t>B2DH403-POD09</t>
        </is>
      </c>
      <c r="C20" s="5" t="inlineStr">
        <is>
          <t>总线设备柜</t>
        </is>
      </c>
      <c r="D20" s="5" t="inlineStr">
        <is>
          <t>Atlas 900 A3 SuperPoD总线设备柜</t>
        </is>
      </c>
      <c r="E20" s="5" t="inlineStr">
        <is>
          <t>56*LingQu 630 V1</t>
        </is>
      </c>
      <c r="F20" s="5" t="inlineStr">
        <is>
          <t>柜</t>
        </is>
      </c>
      <c r="G20" s="5" t="n">
        <v>4</v>
      </c>
      <c r="H20" s="6" t="n"/>
      <c r="I20" s="4" t="n"/>
      <c r="J20" s="9">
        <f>LEFT(B20, FIND("-", B20) - 1)</f>
        <v/>
      </c>
      <c r="K20" s="9">
        <f>RIGHT(B20, LEN(B20) - FIND("-", B20))</f>
        <v/>
      </c>
    </row>
    <row r="21">
      <c r="A21" s="5" t="n">
        <v>20</v>
      </c>
      <c r="B21" s="5" t="inlineStr">
        <is>
          <t>B2DH403-POD09</t>
        </is>
      </c>
      <c r="C21" s="5" t="inlineStr">
        <is>
          <t>网络</t>
        </is>
      </c>
      <c r="D21" s="5" t="inlineStr">
        <is>
          <t>CE9866-128DQ</t>
        </is>
      </c>
      <c r="E21" s="5" t="n"/>
      <c r="F21" s="5" t="inlineStr">
        <is>
          <t>台</t>
        </is>
      </c>
      <c r="G21" s="5" t="n">
        <v>6</v>
      </c>
      <c r="H21" s="6" t="n"/>
      <c r="I21" s="4" t="n"/>
      <c r="J21" s="9">
        <f>LEFT(B21, FIND("-", B21) - 1)</f>
        <v/>
      </c>
      <c r="K21" s="9">
        <f>RIGHT(B21, LEN(B21) - FIND("-", B21))</f>
        <v/>
      </c>
    </row>
    <row r="22">
      <c r="A22" s="4" t="n">
        <v>21</v>
      </c>
      <c r="B22" s="4" t="inlineStr">
        <is>
          <t>B2DH402-POD05</t>
        </is>
      </c>
      <c r="C22" s="4" t="inlineStr">
        <is>
          <t>灵衢线缆</t>
        </is>
      </c>
      <c r="D22" s="4" t="inlineStr">
        <is>
          <t>400G MPO线缆</t>
        </is>
      </c>
      <c r="E22" s="4" t="n"/>
      <c r="F22" s="4" t="inlineStr">
        <is>
          <t>根</t>
        </is>
      </c>
      <c r="G22" s="4" t="n">
        <v>2688</v>
      </c>
      <c r="H22" s="3" t="n"/>
      <c r="I22" s="4" t="n"/>
      <c r="J22" s="9">
        <f>LEFT(B22, FIND("-", B22) - 1)</f>
        <v/>
      </c>
      <c r="K22" s="9">
        <f>RIGHT(B22, LEN(B22) - FIND("-", B22))</f>
        <v/>
      </c>
    </row>
    <row r="23">
      <c r="A23" s="4" t="n">
        <v>22</v>
      </c>
      <c r="B23" s="4" t="inlineStr">
        <is>
          <t>B2DH402-POD05</t>
        </is>
      </c>
      <c r="C23" s="4" t="inlineStr">
        <is>
          <t>计算柜</t>
        </is>
      </c>
      <c r="D23" s="4" t="inlineStr">
        <is>
          <t>Atlas 900 A3 SuperPoD计算柜</t>
        </is>
      </c>
      <c r="E23" s="4" t="inlineStr">
        <is>
          <t>48*Atlas 900 A3</t>
        </is>
      </c>
      <c r="F23" s="4" t="inlineStr">
        <is>
          <t>柜</t>
        </is>
      </c>
      <c r="G23" s="4" t="n">
        <v>12</v>
      </c>
      <c r="H23" s="7" t="n"/>
      <c r="I23" s="4" t="n"/>
      <c r="J23" s="9">
        <f>LEFT(B23, FIND("-", B23) - 1)</f>
        <v/>
      </c>
      <c r="K23" s="9">
        <f>RIGHT(B23, LEN(B23) - FIND("-", B23))</f>
        <v/>
      </c>
    </row>
    <row r="24">
      <c r="A24" s="4" t="n">
        <v>23</v>
      </c>
      <c r="B24" s="4" t="inlineStr">
        <is>
          <t>B2DH402-POD05</t>
        </is>
      </c>
      <c r="C24" s="4" t="inlineStr">
        <is>
          <t>总线设备柜</t>
        </is>
      </c>
      <c r="D24" s="4" t="inlineStr">
        <is>
          <t>Atlas 900 A3 SuperPoD总线设备柜</t>
        </is>
      </c>
      <c r="E24" s="4" t="inlineStr">
        <is>
          <t>56*LingQu 630 V1</t>
        </is>
      </c>
      <c r="F24" s="4" t="inlineStr">
        <is>
          <t>柜</t>
        </is>
      </c>
      <c r="G24" s="4" t="n">
        <v>4</v>
      </c>
      <c r="H24" s="7" t="n"/>
      <c r="I24" s="4" t="n"/>
      <c r="J24" s="9">
        <f>LEFT(B24, FIND("-", B24) - 1)</f>
        <v/>
      </c>
      <c r="K24" s="9">
        <f>RIGHT(B24, LEN(B24) - FIND("-", B24))</f>
        <v/>
      </c>
    </row>
    <row r="25">
      <c r="A25" s="4" t="n">
        <v>24</v>
      </c>
      <c r="B25" s="4" t="inlineStr">
        <is>
          <t>B2DH402-POD05</t>
        </is>
      </c>
      <c r="C25" s="4" t="inlineStr">
        <is>
          <t>网络</t>
        </is>
      </c>
      <c r="D25" s="4" t="inlineStr">
        <is>
          <t>CE9866-128DQ</t>
        </is>
      </c>
      <c r="E25" s="4" t="n"/>
      <c r="F25" s="4" t="inlineStr">
        <is>
          <t>台</t>
        </is>
      </c>
      <c r="G25" s="4" t="n">
        <v>6</v>
      </c>
      <c r="H25" s="7" t="n"/>
      <c r="I25" s="4" t="n"/>
      <c r="J25" s="9">
        <f>LEFT(B25, FIND("-", B25) - 1)</f>
        <v/>
      </c>
      <c r="K25" s="9">
        <f>RIGHT(B25, LEN(B25) - FIND("-", B25))</f>
        <v/>
      </c>
    </row>
    <row r="26">
      <c r="A26" s="4" t="n">
        <v>25</v>
      </c>
      <c r="B26" s="4" t="inlineStr">
        <is>
          <t>B2DH402-POD06</t>
        </is>
      </c>
      <c r="C26" s="4" t="inlineStr">
        <is>
          <t>灵衢线缆</t>
        </is>
      </c>
      <c r="D26" s="4" t="inlineStr">
        <is>
          <t>400G MPO线缆</t>
        </is>
      </c>
      <c r="E26" s="4" t="n"/>
      <c r="F26" s="4" t="inlineStr">
        <is>
          <t>根</t>
        </is>
      </c>
      <c r="G26" s="4" t="n">
        <v>2688</v>
      </c>
      <c r="H26" s="3" t="n"/>
      <c r="I26" s="4" t="n"/>
      <c r="J26" s="9">
        <f>LEFT(B26, FIND("-", B26) - 1)</f>
        <v/>
      </c>
      <c r="K26" s="9">
        <f>RIGHT(B26, LEN(B26) - FIND("-", B26))</f>
        <v/>
      </c>
    </row>
    <row r="27">
      <c r="A27" s="4" t="n">
        <v>26</v>
      </c>
      <c r="B27" s="4" t="inlineStr">
        <is>
          <t>B2DH402-POD06</t>
        </is>
      </c>
      <c r="C27" s="4" t="inlineStr">
        <is>
          <t>计算柜</t>
        </is>
      </c>
      <c r="D27" s="4" t="inlineStr">
        <is>
          <t>Atlas 900 A3 SuperPoD计算柜</t>
        </is>
      </c>
      <c r="E27" s="4" t="inlineStr">
        <is>
          <t>48*Atlas 900 A3</t>
        </is>
      </c>
      <c r="F27" s="4" t="inlineStr">
        <is>
          <t>柜</t>
        </is>
      </c>
      <c r="G27" s="4" t="n">
        <v>12</v>
      </c>
      <c r="H27" s="7" t="n"/>
      <c r="I27" s="4" t="n"/>
      <c r="J27" s="9">
        <f>LEFT(B27, FIND("-", B27) - 1)</f>
        <v/>
      </c>
      <c r="K27" s="9">
        <f>RIGHT(B27, LEN(B27) - FIND("-", B27))</f>
        <v/>
      </c>
    </row>
    <row r="28">
      <c r="A28" s="4" t="n">
        <v>27</v>
      </c>
      <c r="B28" s="4" t="inlineStr">
        <is>
          <t>B2DH402-POD06</t>
        </is>
      </c>
      <c r="C28" s="4" t="inlineStr">
        <is>
          <t>总线设备柜</t>
        </is>
      </c>
      <c r="D28" s="4" t="inlineStr">
        <is>
          <t>Atlas 900 A3 SuperPoD总线设备柜</t>
        </is>
      </c>
      <c r="E28" s="4" t="inlineStr">
        <is>
          <t>56*LingQu 630 V1</t>
        </is>
      </c>
      <c r="F28" s="4" t="inlineStr">
        <is>
          <t>柜</t>
        </is>
      </c>
      <c r="G28" s="4" t="n">
        <v>4</v>
      </c>
      <c r="H28" s="7" t="n"/>
      <c r="I28" s="4" t="n"/>
      <c r="J28" s="9">
        <f>LEFT(B28, FIND("-", B28) - 1)</f>
        <v/>
      </c>
      <c r="K28" s="9">
        <f>RIGHT(B28, LEN(B28) - FIND("-", B28))</f>
        <v/>
      </c>
    </row>
    <row r="29">
      <c r="A29" s="4" t="n">
        <v>28</v>
      </c>
      <c r="B29" s="4" t="inlineStr">
        <is>
          <t>B2DH402-POD06</t>
        </is>
      </c>
      <c r="C29" s="4" t="inlineStr">
        <is>
          <t>网络</t>
        </is>
      </c>
      <c r="D29" s="4" t="inlineStr">
        <is>
          <t>CE9866-128DQ</t>
        </is>
      </c>
      <c r="E29" s="4" t="n"/>
      <c r="F29" s="4" t="inlineStr">
        <is>
          <t>台</t>
        </is>
      </c>
      <c r="G29" s="4" t="n">
        <v>6</v>
      </c>
      <c r="H29" s="7" t="n"/>
      <c r="I29" s="4" t="n"/>
      <c r="J29" s="9">
        <f>LEFT(B29, FIND("-", B29) - 1)</f>
        <v/>
      </c>
      <c r="K29" s="9">
        <f>RIGHT(B29, LEN(B29) - FIND("-", B29))</f>
        <v/>
      </c>
    </row>
    <row r="30">
      <c r="A30" s="4" t="n">
        <v>29</v>
      </c>
      <c r="B30" s="4" t="inlineStr">
        <is>
          <t>B2DH402-POD07</t>
        </is>
      </c>
      <c r="C30" s="4" t="inlineStr">
        <is>
          <t>灵衢线缆</t>
        </is>
      </c>
      <c r="D30" s="4" t="inlineStr">
        <is>
          <t>400G MPO线缆</t>
        </is>
      </c>
      <c r="E30" s="4" t="n"/>
      <c r="F30" s="4" t="inlineStr">
        <is>
          <t>根</t>
        </is>
      </c>
      <c r="G30" s="4" t="n">
        <v>2688</v>
      </c>
      <c r="H30" s="3" t="n"/>
      <c r="I30" s="4" t="n"/>
      <c r="J30" s="9">
        <f>LEFT(B30, FIND("-", B30) - 1)</f>
        <v/>
      </c>
      <c r="K30" s="9">
        <f>RIGHT(B30, LEN(B30) - FIND("-", B30))</f>
        <v/>
      </c>
    </row>
    <row r="31">
      <c r="A31" s="4" t="n">
        <v>30</v>
      </c>
      <c r="B31" s="4" t="inlineStr">
        <is>
          <t>B2DH402-POD07</t>
        </is>
      </c>
      <c r="C31" s="4" t="inlineStr">
        <is>
          <t>计算柜</t>
        </is>
      </c>
      <c r="D31" s="4" t="inlineStr">
        <is>
          <t>Atlas 900 A3 SuperPoD计算柜</t>
        </is>
      </c>
      <c r="E31" s="4" t="inlineStr">
        <is>
          <t>48*Atlas 900 A3</t>
        </is>
      </c>
      <c r="F31" s="4" t="inlineStr">
        <is>
          <t>柜</t>
        </is>
      </c>
      <c r="G31" s="4" t="n">
        <v>12</v>
      </c>
      <c r="H31" s="7" t="n"/>
      <c r="I31" s="4" t="n"/>
      <c r="J31" s="9">
        <f>LEFT(B31, FIND("-", B31) - 1)</f>
        <v/>
      </c>
      <c r="K31" s="9">
        <f>RIGHT(B31, LEN(B31) - FIND("-", B31))</f>
        <v/>
      </c>
    </row>
    <row r="32">
      <c r="A32" s="4" t="n">
        <v>31</v>
      </c>
      <c r="B32" s="4" t="inlineStr">
        <is>
          <t>B2DH402-POD07</t>
        </is>
      </c>
      <c r="C32" s="4" t="inlineStr">
        <is>
          <t>总线设备柜</t>
        </is>
      </c>
      <c r="D32" s="4" t="inlineStr">
        <is>
          <t>Atlas 900 A3 SuperPoD总线设备柜</t>
        </is>
      </c>
      <c r="E32" s="4" t="inlineStr">
        <is>
          <t>56*LingQu 630 V1</t>
        </is>
      </c>
      <c r="F32" s="4" t="inlineStr">
        <is>
          <t>柜</t>
        </is>
      </c>
      <c r="G32" s="4" t="n">
        <v>4</v>
      </c>
      <c r="H32" s="7" t="n"/>
      <c r="I32" s="4" t="n"/>
      <c r="J32" s="9">
        <f>LEFT(B32, FIND("-", B32) - 1)</f>
        <v/>
      </c>
      <c r="K32" s="9">
        <f>RIGHT(B32, LEN(B32) - FIND("-", B32))</f>
        <v/>
      </c>
    </row>
    <row r="33">
      <c r="A33" s="4" t="n">
        <v>32</v>
      </c>
      <c r="B33" s="4" t="inlineStr">
        <is>
          <t>B2DH402-POD07</t>
        </is>
      </c>
      <c r="C33" s="4" t="inlineStr">
        <is>
          <t>网络</t>
        </is>
      </c>
      <c r="D33" s="4" t="inlineStr">
        <is>
          <t>CE9866-128DQ</t>
        </is>
      </c>
      <c r="E33" s="4" t="n"/>
      <c r="F33" s="4" t="inlineStr">
        <is>
          <t>台</t>
        </is>
      </c>
      <c r="G33" s="4" t="n">
        <v>6</v>
      </c>
      <c r="H33" s="7" t="n"/>
      <c r="I33" s="4" t="n"/>
      <c r="J33" s="9">
        <f>LEFT(B33, FIND("-", B33) - 1)</f>
        <v/>
      </c>
      <c r="K33" s="9">
        <f>RIGHT(B33, LEN(B33) - FIND("-", B33))</f>
        <v/>
      </c>
    </row>
    <row r="34">
      <c r="A34" s="4" t="n">
        <v>33</v>
      </c>
      <c r="B34" s="4" t="inlineStr">
        <is>
          <t>B2DH402-POD08</t>
        </is>
      </c>
      <c r="C34" s="4" t="inlineStr">
        <is>
          <t>灵衢线缆</t>
        </is>
      </c>
      <c r="D34" s="4" t="inlineStr">
        <is>
          <t>400G MPO线缆</t>
        </is>
      </c>
      <c r="E34" s="4" t="n"/>
      <c r="F34" s="4" t="inlineStr">
        <is>
          <t>根</t>
        </is>
      </c>
      <c r="G34" s="4" t="n">
        <v>2688</v>
      </c>
      <c r="H34" s="3" t="n"/>
      <c r="I34" s="4" t="n"/>
      <c r="J34" s="9">
        <f>LEFT(B34, FIND("-", B34) - 1)</f>
        <v/>
      </c>
      <c r="K34" s="9">
        <f>RIGHT(B34, LEN(B34) - FIND("-", B34))</f>
        <v/>
      </c>
    </row>
    <row r="35">
      <c r="A35" s="4" t="n">
        <v>34</v>
      </c>
      <c r="B35" s="4" t="inlineStr">
        <is>
          <t>B2DH402-POD08</t>
        </is>
      </c>
      <c r="C35" s="4" t="inlineStr">
        <is>
          <t>计算柜</t>
        </is>
      </c>
      <c r="D35" s="4" t="inlineStr">
        <is>
          <t>Atlas 900 A3 SuperPoD计算柜</t>
        </is>
      </c>
      <c r="E35" s="4" t="inlineStr">
        <is>
          <t>48*Atlas 900 A3</t>
        </is>
      </c>
      <c r="F35" s="4" t="inlineStr">
        <is>
          <t>柜</t>
        </is>
      </c>
      <c r="G35" s="4" t="n">
        <v>12</v>
      </c>
      <c r="H35" s="7" t="n"/>
      <c r="I35" s="4" t="n"/>
      <c r="J35" s="9">
        <f>LEFT(B35, FIND("-", B35) - 1)</f>
        <v/>
      </c>
      <c r="K35" s="9">
        <f>RIGHT(B35, LEN(B35) - FIND("-", B35))</f>
        <v/>
      </c>
    </row>
    <row r="36">
      <c r="A36" s="4" t="n">
        <v>35</v>
      </c>
      <c r="B36" s="4" t="inlineStr">
        <is>
          <t>B2DH402-POD08</t>
        </is>
      </c>
      <c r="C36" s="4" t="inlineStr">
        <is>
          <t>总线设备柜</t>
        </is>
      </c>
      <c r="D36" s="4" t="inlineStr">
        <is>
          <t>Atlas 900 A3 SuperPoD总线设备柜</t>
        </is>
      </c>
      <c r="E36" s="4" t="inlineStr">
        <is>
          <t>56*LingQu 630 V1</t>
        </is>
      </c>
      <c r="F36" s="4" t="inlineStr">
        <is>
          <t>柜</t>
        </is>
      </c>
      <c r="G36" s="4" t="n">
        <v>4</v>
      </c>
      <c r="H36" s="7" t="n"/>
      <c r="I36" s="4" t="n"/>
      <c r="J36" s="9">
        <f>LEFT(B36, FIND("-", B36) - 1)</f>
        <v/>
      </c>
      <c r="K36" s="9">
        <f>RIGHT(B36, LEN(B36) - FIND("-", B36))</f>
        <v/>
      </c>
    </row>
    <row r="37">
      <c r="A37" s="4" t="n">
        <v>36</v>
      </c>
      <c r="B37" s="4" t="inlineStr">
        <is>
          <t>B2DH402-POD08</t>
        </is>
      </c>
      <c r="C37" s="4" t="inlineStr">
        <is>
          <t>网络</t>
        </is>
      </c>
      <c r="D37" s="4" t="inlineStr">
        <is>
          <t>CE9866-128DQ</t>
        </is>
      </c>
      <c r="E37" s="4" t="n"/>
      <c r="F37" s="4" t="inlineStr">
        <is>
          <t>台</t>
        </is>
      </c>
      <c r="G37" s="4" t="n">
        <v>6</v>
      </c>
      <c r="H37" s="7" t="n"/>
      <c r="I37" s="4" t="n"/>
      <c r="J37" s="9">
        <f>LEFT(B37, FIND("-", B37) - 1)</f>
        <v/>
      </c>
      <c r="K37" s="9">
        <f>RIGHT(B37, LEN(B37) - FIND("-", B37))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bianjin</dc:creator>
  <dcterms:created xsi:type="dcterms:W3CDTF">2025-11-06T08:23:52Z</dcterms:created>
  <dcterms:modified xsi:type="dcterms:W3CDTF">2026-06-13T15:15:43Z</dcterms:modified>
  <cp:lastModifiedBy>liuyang (EN)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readonly" fmtid="{D5CDD505-2E9C-101B-9397-08002B2CF9AE}" pid="2">
    <vt:lpwstr/>
  </property>
  <property name="_change" fmtid="{D5CDD505-2E9C-101B-9397-08002B2CF9AE}" pid="3">
    <vt:lpwstr/>
  </property>
  <property name="_full-control" fmtid="{D5CDD505-2E9C-101B-9397-08002B2CF9AE}" pid="4">
    <vt:lpwstr/>
  </property>
  <property name="sflag" fmtid="{D5CDD505-2E9C-101B-9397-08002B2CF9AE}" pid="5">
    <vt:lpwstr>1763369145</vt:lpwstr>
  </property>
</Properties>
</file>