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E2E49977-B83E-4472-A6A0-AE291905DB31}"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5" r:id="rId4"/>
    <sheet name="统计" sheetId="4" r:id="rId5"/>
    <sheet name="CE16800-X16 V300R024" sheetId="7" r:id="rId6"/>
    <sheet name="tmp_v" sheetId="6" state="hidden" r:id="rId7"/>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5">'CE16800-X16 V300R024'!$C$9:$K$14</definedName>
    <definedName name="CFGAREA" localSheetId="3">汇总表!$C$9:$E$11</definedName>
    <definedName name="CFGAREA" localSheetId="4">统计!$C$9:$K$10</definedName>
    <definedName name="ColumnHeader" localSheetId="5">"locationid,productcfgid"</definedName>
    <definedName name="COMPANYNAME" localSheetId="0">封面!$C$14</definedName>
    <definedName name="CREATE_DATE" localSheetId="0">封面!$C$15</definedName>
    <definedName name="HasColumnHeader" localSheetId="5">"1"</definedName>
    <definedName name="L3PRODUCTCODE" localSheetId="5">"EW126258"</definedName>
    <definedName name="PONUMBER" localSheetId="0">封面!$B$9</definedName>
    <definedName name="PRICEID" localSheetId="0">封面!$B$8</definedName>
    <definedName name="_xlnm.Print_Area" localSheetId="5">'CE16800-X16 V300R024'!$C$2:$K$14</definedName>
    <definedName name="_xlnm.Print_Area" localSheetId="0">封面!$B$2:$E$15</definedName>
    <definedName name="_xlnm.Print_Area" localSheetId="3">汇总表!$C$2:$E$11</definedName>
    <definedName name="_xlnm.Print_Area" localSheetId="1">免责声明!$C$1:$C$24</definedName>
    <definedName name="_xlnm.Print_Titles" localSheetId="5">'CE16800-X16 V300R024'!$B:$H,'CE16800-X16 V300R024'!$2:$9</definedName>
    <definedName name="_xlnm.Print_Titles" localSheetId="3">汇总表!$B:$E,汇总表!$2:$9</definedName>
    <definedName name="PROJECTCODE" localSheetId="0">封面!$J$2</definedName>
    <definedName name="PROJECTNAME" localSheetId="0">封面!$C$6</definedName>
    <definedName name="QF_SYS_CITYCOUNTRY1" localSheetId="5">"null"</definedName>
    <definedName name="QF_SYS_CITYCOUNTRY1" localSheetId="3">"null"</definedName>
    <definedName name="QF_SYS_CURRENCY1" localSheetId="5">"CNY"</definedName>
    <definedName name="QF_SYS_CURRENCY1" localSheetId="3">"CNY"</definedName>
    <definedName name="QF_SYS_CURRENCY1" localSheetId="1">免责声明!$F$9</definedName>
    <definedName name="QF_SYS_DESTINATION1" localSheetId="5">"null"</definedName>
    <definedName name="QF_SYS_DESTINATION1" localSheetId="3">"null"</definedName>
    <definedName name="QF_SYS_DESTINATION1" localSheetId="1">免责声明!$F$14</definedName>
    <definedName name="QF_SYS_DESTINATION2" localSheetId="5">"null"</definedName>
    <definedName name="QF_SYS_DESTINATION2" localSheetId="3">"null"</definedName>
    <definedName name="QF_SYS_DISTRIBUTIONCECURRENCY" localSheetId="1">免责声明!$J$9</definedName>
    <definedName name="QF_SYS_EXCHANGE1" localSheetId="5">"1"</definedName>
    <definedName name="QF_SYS_EXCHANGE1" localSheetId="3">"1"</definedName>
    <definedName name="QF_SYS_LISTPRICECURRENCY" localSheetId="5">"CNY"</definedName>
    <definedName name="QF_SYS_LISTPRICECURRENCY" localSheetId="3">"CNY"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5">"null"</definedName>
    <definedName name="QF_SYS_TRADETERMDESC1" localSheetId="3">"null"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"2026-02-20"</definedName>
    <definedName name="QUOTATIONBY" localSheetId="0">封面!$B$7</definedName>
    <definedName name="QUOTATIONNO" localSheetId="0">封面!$J$3</definedName>
    <definedName name="QuoteType" localSheetId="5">"Explicit"</definedName>
    <definedName name="QuoteType" localSheetId="3">"Explicit"</definedName>
    <definedName name="QuoteType" localSheetId="1">免责声明!$F$13</definedName>
    <definedName name="SheetByID" localSheetId="5">"145647032,null"</definedName>
    <definedName name="SheetByID" localSheetId="0">"None"</definedName>
    <definedName name="SheetByID" localSheetId="3">"None"</definedName>
    <definedName name="SheetByID" localSheetId="2">"None"</definedName>
    <definedName name="SheetByID" localSheetId="1">"None"</definedName>
    <definedName name="SheetByID" localSheetId="4">"None"</definedName>
    <definedName name="SheetByName" localSheetId="5">"productid,subNetName"</definedName>
    <definedName name="SheetByName" localSheetId="0">"None"</definedName>
    <definedName name="SheetByName" localSheetId="3">"None"</definedName>
    <definedName name="SheetByName" localSheetId="2">"None"</definedName>
    <definedName name="SheetByName" localSheetId="1">"None"</definedName>
    <definedName name="SheetByName" localSheetId="4">"None"</definedName>
    <definedName name="SheetName" localSheetId="5">"CE16800-X16 V300R024"</definedName>
    <definedName name="SheetName" localSheetId="0">"封面"</definedName>
    <definedName name="SheetName" localSheetId="3">"汇总表"</definedName>
    <definedName name="SheetName" localSheetId="2">"基础信息表"</definedName>
    <definedName name="SheetName" localSheetId="1">"免责声明"</definedName>
    <definedName name="SheetName" localSheetId="4">"统计"</definedName>
    <definedName name="SheetType" localSheetId="5">"0"</definedName>
    <definedName name="SheetType" localSheetId="0">"100001"</definedName>
    <definedName name="SheetType" localSheetId="3">"100003"</definedName>
    <definedName name="SheetType" localSheetId="2">"100001"</definedName>
    <definedName name="SheetType" localSheetId="1">"100002"</definedName>
    <definedName name="SheetType" localSheetId="4">"None"</definedName>
    <definedName name="statistics" localSheetId="4">统计!$C$10:$K$12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4" i="7" l="1"/>
  <c r="I13" i="7"/>
  <c r="K12" i="4"/>
  <c r="J12" i="4"/>
  <c r="I12" i="4"/>
  <c r="H12" i="4"/>
  <c r="G12" i="4"/>
  <c r="F12" i="4"/>
  <c r="E12" i="4"/>
  <c r="C24" i="2"/>
  <c r="C20" i="2"/>
  <c r="C8" i="2"/>
</calcChain>
</file>

<file path=xl/sharedStrings.xml><?xml version="1.0" encoding="utf-8"?>
<sst xmlns="http://schemas.openxmlformats.org/spreadsheetml/2006/main" count="112" uniqueCount="100">
  <si>
    <t>站点</t>
  </si>
  <si>
    <t>模型名称</t>
  </si>
  <si>
    <t>体积</t>
  </si>
  <si>
    <t>净体积
(立方米)</t>
  </si>
  <si>
    <t>带包装体积
(立方米)</t>
  </si>
  <si>
    <t>重量</t>
  </si>
  <si>
    <t>净重量
(公斤)</t>
  </si>
  <si>
    <t>带包装重量
(公斤)</t>
  </si>
  <si>
    <t>功耗</t>
  </si>
  <si>
    <t>最大功耗
(瓦特)</t>
  </si>
  <si>
    <t>典型功耗
(瓦特)</t>
  </si>
  <si>
    <t>最小功耗
(瓦特)</t>
  </si>
  <si>
    <t>CE16800-X16  4块业务板</t>
  </si>
  <si>
    <t>智算-X16框_02_SNS</t>
  </si>
  <si>
    <t>小计</t>
  </si>
  <si>
    <t>序号</t>
  </si>
  <si>
    <t>配置名称</t>
  </si>
  <si>
    <t>数量</t>
  </si>
  <si>
    <t>智算-X16框_02_SNS(含华为CE核心交换机软件V1.0)</t>
  </si>
  <si>
    <t>设备汇总价</t>
  </si>
  <si>
    <t>汇总价</t>
  </si>
  <si>
    <t>部件编码</t>
  </si>
  <si>
    <t>型号</t>
  </si>
  <si>
    <t>描述</t>
  </si>
  <si>
    <t>优选标识</t>
  </si>
  <si>
    <t>含软件备注</t>
  </si>
  <si>
    <t>总数</t>
  </si>
  <si>
    <t>参考备货周期
(天)</t>
  </si>
  <si>
    <t>CloudEngine 16800 &amp; XH16800 核心交换机</t>
  </si>
  <si>
    <t>软件</t>
  </si>
  <si>
    <t>88064EAX</t>
  </si>
  <si>
    <t>88064EBD</t>
  </si>
  <si>
    <t>N1-CE168CFAD-OTT-SnS1Y</t>
  </si>
  <si>
    <t>N1-CE168AI-OTT-SnS1Y</t>
  </si>
  <si>
    <t>N1-CE16800交换机CloudFabric Advanced软件包(OTT)-Subscription and Support-1年</t>
  </si>
  <si>
    <t>N1-CloudEngine 16800交换机AI场景增值包(OTT)-Subscription and Support-1年</t>
  </si>
  <si>
    <t>华为CE核心交换机软件V1.0</t>
  </si>
  <si>
    <t>7</t>
  </si>
  <si>
    <t>CE16800-X16 V300R024(智算-X16框_02_SNS)</t>
  </si>
  <si>
    <t>北京京东世纪贸易有限公司</t>
  </si>
  <si>
    <t>报价书</t>
  </si>
  <si>
    <t>0R00Hc00847542202511200002</t>
  </si>
  <si>
    <t>北京政企业务部</t>
  </si>
  <si>
    <t xml:space="preserve">
</t>
  </si>
  <si>
    <t>2025-11-20</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</si>
  <si>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</si>
  <si>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</si>
  <si>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</si>
  <si>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</si>
  <si>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</si>
  <si>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</si>
  <si>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</si>
  <si>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</si>
  <si>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</si>
  <si>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参数值</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</si>
  <si>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</si>
  <si>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</si>
  <si>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</si>
  <si>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</si>
  <si>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</si>
  <si>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</si>
  <si>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</si>
  <si>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</si>
  <si>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</si>
  <si>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</si>
  <si>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</si>
  <si>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</si>
  <si>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</si>
  <si>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totalprice.0,equiptotalprice.0,isServicePart.0,locationid.-553780012,</t>
  </si>
  <si>
    <t>1</t>
  </si>
  <si>
    <t>totalprice.0,equiptotalprice.0,isServicePart.0,locationid.-553780012,productcfgid.90484887,productid.145647032,subnetid.null,cfgmodeltypeid.1,producttypeid.0,isquoteleaf.1</t>
  </si>
  <si>
    <t>COL_MODELID.0</t>
  </si>
  <si>
    <t>COL_MODELNAME.0</t>
  </si>
  <si>
    <t>TOTAL_NET_VOLUME.0</t>
  </si>
  <si>
    <t>TOTAL_PACK_VOLUME.0</t>
  </si>
  <si>
    <t>TOTAL_NET_WEG.0</t>
  </si>
  <si>
    <t>TOTAL_PACK_WEG.0</t>
  </si>
  <si>
    <t>TOTAL_VM_POW.0</t>
  </si>
  <si>
    <t>TOTAL_VT_POW.0</t>
  </si>
  <si>
    <t>TOTAL_VMI_POW.0</t>
  </si>
  <si>
    <t>体积/重量参数说明：体积/重量参数只用于单产品体积和重量参考，不用于计算运费，详细运费计算请提交货量预估系统。</t>
  </si>
  <si>
    <t>totalstatistics.1,productcfgid.90484887,locationid-553780012,</t>
  </si>
  <si>
    <t>totalstatistics.1,</t>
  </si>
  <si>
    <t>以上统计信息是包含模型套数的。</t>
  </si>
  <si>
    <t>COL_SALECODE.0</t>
  </si>
  <si>
    <t>COL_MODEL.0</t>
  </si>
  <si>
    <t>COL_PREFER.0</t>
  </si>
  <si>
    <t>COL_FREETAXSOFTWARE.0</t>
  </si>
  <si>
    <t>COL_SUM_ADD.0</t>
  </si>
  <si>
    <t>COL_LEADTIME.0</t>
  </si>
  <si>
    <t>locationid.-553780012,productcfgid.90484887,cfgmodeltypeid.1,productid.145647032,COL_ADD.0</t>
  </si>
  <si>
    <t>productmodelshowid.null,productid.145647032,</t>
  </si>
  <si>
    <t>productmodelshowid.null,productid.145647032,productid.145647032,subnetid.null,</t>
  </si>
  <si>
    <t>productmodelshowid.null,productid.145647032,productid.145647032,subnetid.null,sbomid2.51360636,fathersbomid.0,null</t>
  </si>
  <si>
    <t>1.1</t>
  </si>
  <si>
    <t>productmodelshowid.null,productid.145647032,productid.145647032,subnetid.null,sbomid3.-937227622,fathersbomid.51360636,uniqueId.188400.0,productid.145647032,producttypeid.0,partnumber.88064EAX,erpid.-2048197075,discountcategoryid.10483,multidiscountcategoryid.10483_1884000,isServicePart.0,desc.-712511681,isquoteleaf.1,isquoteitem.1</t>
  </si>
  <si>
    <t>productmodelshowid.null,productid.145647032,productid.145647032,subnetid.null,sbomid3.-2056687626,fathersbomid.51360636,uniqueId.628000.0,productid.145647032,producttypeid.0,partnumber.88064EBD,erpid.-983869111,discountcategoryid.10483,multidiscountcategoryid.10483_6280000,isServicePart.0,desc.-702666252,isquoteleaf.1,isquoteitem.1</t>
  </si>
  <si>
    <r>
      <t>JXX</t>
    </r>
    <r>
      <rPr>
        <b/>
        <sz val="22"/>
        <rFont val="宋体"/>
        <family val="2"/>
        <charset val="134"/>
      </rPr>
      <t>项目</t>
    </r>
    <r>
      <rPr>
        <b/>
        <sz val="22"/>
        <rFont val="微软雅黑"/>
        <family val="2"/>
        <charset val="134"/>
      </rPr>
      <t>网络设备</t>
    </r>
    <r>
      <rPr>
        <b/>
        <sz val="22"/>
        <rFont val="Arial"/>
        <family val="2"/>
      </rPr>
      <t>_64pcsCE16800-X16_</t>
    </r>
    <r>
      <rPr>
        <b/>
        <sz val="22"/>
        <rFont val="微软雅黑"/>
        <family val="2"/>
        <charset val="134"/>
      </rPr>
      <t>拆分</t>
    </r>
    <r>
      <rPr>
        <b/>
        <sz val="22"/>
        <rFont val="Arial"/>
        <family val="2"/>
      </rPr>
      <t>_</t>
    </r>
    <r>
      <rPr>
        <b/>
        <sz val="22"/>
        <rFont val="微软雅黑"/>
        <family val="2"/>
        <charset val="134"/>
      </rPr>
      <t>年费</t>
    </r>
    <phoneticPr fontId="20" type="noConversion"/>
  </si>
  <si>
    <r>
      <t>JXX</t>
    </r>
    <r>
      <rPr>
        <sz val="9"/>
        <rFont val="宋体"/>
        <family val="2"/>
        <charset val="134"/>
      </rPr>
      <t>项目</t>
    </r>
    <r>
      <rPr>
        <sz val="9"/>
        <rFont val="微软雅黑"/>
        <family val="2"/>
        <charset val="134"/>
      </rPr>
      <t>网络设备</t>
    </r>
    <r>
      <rPr>
        <sz val="9"/>
        <rFont val="Arial"/>
        <family val="2"/>
      </rPr>
      <t>_64pcsCE16800-X16_</t>
    </r>
    <r>
      <rPr>
        <sz val="9"/>
        <rFont val="微软雅黑"/>
        <family val="2"/>
        <charset val="134"/>
      </rPr>
      <t>拆分</t>
    </r>
    <r>
      <rPr>
        <sz val="9"/>
        <rFont val="Arial"/>
        <family val="2"/>
      </rPr>
      <t>_</t>
    </r>
    <r>
      <rPr>
        <sz val="9"/>
        <rFont val="微软雅黑"/>
        <family val="2"/>
        <charset val="134"/>
      </rPr>
      <t>年费</t>
    </r>
    <phoneticPr fontId="20" type="noConversion"/>
  </si>
  <si>
    <r>
      <t>JXX</t>
    </r>
    <r>
      <rPr>
        <sz val="9"/>
        <rFont val="微软雅黑"/>
        <family val="2"/>
        <charset val="134"/>
      </rPr>
      <t>有限公司</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</si>
</sst>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Red]\-###0.000"/>
    <numFmt numFmtId="177" formatCode="###0.00;[Red]\-###0.00"/>
    <numFmt numFmtId="178" formatCode="&quot;&quot;"/>
    <numFmt numFmtId="179" formatCode="0_ ;[Red]\-0\ "/>
  </numFmts>
  <fonts count="25"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color indexed="10"/>
      <name val="Arial"/>
      <family val="2"/>
    </font>
    <font>
      <sz val="9"/>
      <name val="宋体"/>
      <family val="3"/>
      <charset val="134"/>
    </font>
    <font>
      <b/>
      <sz val="22"/>
      <name val="微软雅黑"/>
      <family val="2"/>
      <charset val="134"/>
    </font>
    <font>
      <b/>
      <sz val="22"/>
      <name val="宋体"/>
      <family val="2"/>
      <charset val="134"/>
    </font>
    <font>
      <sz val="9"/>
      <name val="微软雅黑"/>
      <family val="2"/>
      <charset val="134"/>
    </font>
    <font>
      <sz val="9"/>
      <name val="宋体"/>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90">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0" fontId="17" fillId="3" borderId="4" xfId="0" applyFont="1" applyFill="1" applyBorder="1" applyAlignment="1" applyProtection="1">
      <alignment horizontal="center" vertical="center" wrapText="1"/>
      <protection locked="0"/>
    </xf>
    <xf numFmtId="0" fontId="15" fillId="0" borderId="5" xfId="0" applyFont="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3" borderId="6" xfId="0" applyFont="1" applyFill="1" applyBorder="1" applyAlignment="1" applyProtection="1">
      <alignment horizontal="left" vertical="center" wrapText="1"/>
      <protection locked="0"/>
    </xf>
    <xf numFmtId="176" fontId="15" fillId="0" borderId="6" xfId="0" applyNumberFormat="1" applyFont="1" applyBorder="1" applyAlignment="1" applyProtection="1">
      <alignment horizontal="right" vertical="center" shrinkToFit="1"/>
      <protection locked="0"/>
    </xf>
    <xf numFmtId="177" fontId="15" fillId="0" borderId="6" xfId="0" applyNumberFormat="1" applyFont="1" applyBorder="1" applyAlignment="1" applyProtection="1">
      <alignment horizontal="right" vertical="center" shrinkToFit="1"/>
      <protection locked="0"/>
    </xf>
    <xf numFmtId="177" fontId="15" fillId="0" borderId="7" xfId="0" applyNumberFormat="1" applyFont="1" applyBorder="1" applyAlignment="1" applyProtection="1">
      <alignment horizontal="right" vertical="center" shrinkToFit="1"/>
      <protection locked="0"/>
    </xf>
    <xf numFmtId="0" fontId="16" fillId="3" borderId="8" xfId="0" applyFont="1" applyFill="1" applyBorder="1" applyAlignment="1" applyProtection="1">
      <alignment horizontal="left" vertical="center" wrapText="1"/>
      <protection locked="0"/>
    </xf>
    <xf numFmtId="0" fontId="16" fillId="3" borderId="9" xfId="0" applyFont="1" applyFill="1" applyBorder="1" applyAlignment="1" applyProtection="1">
      <alignment horizontal="left" vertical="center" wrapText="1"/>
      <protection locked="0"/>
    </xf>
    <xf numFmtId="176" fontId="16" fillId="3" borderId="9" xfId="0" applyNumberFormat="1" applyFont="1" applyFill="1" applyBorder="1" applyAlignment="1" applyProtection="1">
      <alignment horizontal="right" vertical="center" shrinkToFit="1"/>
      <protection locked="0"/>
    </xf>
    <xf numFmtId="177" fontId="16" fillId="3" borderId="9" xfId="0" applyNumberFormat="1" applyFont="1" applyFill="1" applyBorder="1" applyAlignment="1" applyProtection="1">
      <alignment horizontal="right" vertical="center" shrinkToFit="1"/>
      <protection locked="0"/>
    </xf>
    <xf numFmtId="177" fontId="16" fillId="3" borderId="10" xfId="0" applyNumberFormat="1" applyFont="1" applyFill="1" applyBorder="1" applyAlignment="1" applyProtection="1">
      <alignment horizontal="right" vertical="center" shrinkToFit="1"/>
      <protection locked="0"/>
    </xf>
    <xf numFmtId="0" fontId="0" fillId="0" borderId="2" xfId="0" applyBorder="1" applyAlignment="1" applyProtection="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178" fontId="19" fillId="0" borderId="6" xfId="0" applyNumberFormat="1" applyFont="1" applyBorder="1" applyAlignment="1" applyProtection="1">
      <alignment vertical="center" wrapText="1"/>
      <protection locked="0"/>
    </xf>
    <xf numFmtId="179" fontId="16" fillId="0" borderId="6" xfId="0" applyNumberFormat="1" applyFont="1" applyBorder="1" applyAlignment="1" applyProtection="1">
      <alignment horizontal="center" vertical="center"/>
      <protection locked="0"/>
    </xf>
    <xf numFmtId="179" fontId="16" fillId="3" borderId="6" xfId="0" applyNumberFormat="1" applyFont="1" applyFill="1" applyBorder="1" applyAlignment="1" applyProtection="1">
      <alignment horizontal="center" vertical="center"/>
      <protection locked="0"/>
    </xf>
    <xf numFmtId="179" fontId="16" fillId="6" borderId="6" xfId="0" applyNumberFormat="1" applyFont="1" applyFill="1" applyBorder="1" applyAlignment="1" applyProtection="1">
      <alignment horizontal="center" vertical="center"/>
      <protection locked="0"/>
    </xf>
    <xf numFmtId="179" fontId="15" fillId="0" borderId="6" xfId="0" applyNumberFormat="1"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38" fontId="16" fillId="3" borderId="7" xfId="0" applyNumberFormat="1" applyFont="1" applyFill="1" applyBorder="1" applyAlignment="1" applyProtection="1">
      <alignment horizontal="right" vertical="center" shrinkToFit="1"/>
      <protection locked="0"/>
    </xf>
    <xf numFmtId="179" fontId="16" fillId="6" borderId="7" xfId="0" applyNumberFormat="1" applyFont="1" applyFill="1" applyBorder="1" applyAlignment="1" applyProtection="1">
      <alignment horizontal="center" vertical="center"/>
      <protection locked="0"/>
    </xf>
    <xf numFmtId="179" fontId="15" fillId="0" borderId="7"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8" fontId="19" fillId="0" borderId="9" xfId="0" applyNumberFormat="1" applyFont="1" applyBorder="1" applyAlignment="1" applyProtection="1">
      <alignment vertical="center" wrapText="1"/>
      <protection locked="0"/>
    </xf>
    <xf numFmtId="179" fontId="15" fillId="0" borderId="9" xfId="0" applyNumberFormat="1"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179" fontId="15" fillId="0" borderId="10" xfId="0" applyNumberFormat="1" applyFont="1" applyBorder="1" applyAlignment="1" applyProtection="1">
      <alignment horizontal="center" vertical="center"/>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18" fillId="3" borderId="4" xfId="0" applyFont="1" applyFill="1" applyBorder="1" applyAlignment="1" applyProtection="1">
      <alignment horizontal="center" vertical="center" wrapText="1"/>
      <protection locked="0"/>
    </xf>
    <xf numFmtId="0" fontId="17" fillId="3" borderId="4" xfId="0" applyFont="1" applyFill="1" applyBorder="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5" name="Picture" descr="Logo">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4" name="Picture" descr="Logo">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customHeight="1" x14ac:dyDescent="0.4">
      <c r="A4" s="2" t="s">
        <v>39</v>
      </c>
      <c r="B4" s="2"/>
      <c r="C4" s="2"/>
      <c r="D4" s="2"/>
      <c r="E4" s="2"/>
      <c r="F4" s="4"/>
    </row>
    <row r="5" spans="1:6" ht="63" customHeight="1" x14ac:dyDescent="0.4">
      <c r="A5" s="2"/>
      <c r="B5" s="78" t="s">
        <v>40</v>
      </c>
      <c r="C5" s="78"/>
      <c r="D5" s="78"/>
      <c r="E5" s="78"/>
      <c r="F5" s="4"/>
    </row>
    <row r="6" spans="1:6" ht="277.5" customHeight="1" x14ac:dyDescent="1">
      <c r="A6" s="2"/>
      <c r="B6" s="5"/>
      <c r="C6" s="79" t="s">
        <v>97</v>
      </c>
      <c r="D6" s="79"/>
      <c r="E6" s="5"/>
      <c r="F6" s="4"/>
    </row>
    <row r="7" spans="1:6" ht="39.75" customHeight="1" x14ac:dyDescent="0.4">
      <c r="A7" s="2"/>
      <c r="B7" s="6"/>
      <c r="C7" s="7"/>
      <c r="D7" s="7"/>
      <c r="E7" s="7"/>
      <c r="F7" s="4"/>
    </row>
    <row r="8" spans="1:6" ht="26.25" customHeight="1" x14ac:dyDescent="0.4">
      <c r="A8" s="2"/>
      <c r="B8" s="80" t="s">
        <v>41</v>
      </c>
      <c r="C8" s="80"/>
      <c r="D8" s="80"/>
      <c r="E8" s="80"/>
      <c r="F8" s="4"/>
    </row>
    <row r="9" spans="1:6" ht="30.75" customHeight="1" x14ac:dyDescent="0.5">
      <c r="A9" s="2"/>
      <c r="B9" s="80"/>
      <c r="C9" s="80"/>
      <c r="D9" s="80"/>
      <c r="E9" s="80"/>
      <c r="F9" s="8"/>
    </row>
    <row r="10" spans="1:6" ht="26.25" customHeight="1" x14ac:dyDescent="0.4">
      <c r="A10" s="2"/>
      <c r="B10" s="81" t="s">
        <v>42</v>
      </c>
      <c r="C10" s="81"/>
      <c r="D10" s="81"/>
      <c r="E10" s="81"/>
      <c r="F10" s="4"/>
    </row>
    <row r="11" spans="1:6" ht="21" customHeight="1" x14ac:dyDescent="0.5">
      <c r="A11" s="2"/>
      <c r="B11" s="81"/>
      <c r="C11" s="81"/>
      <c r="D11" s="81"/>
      <c r="E11" s="81"/>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43</v>
      </c>
      <c r="D14" s="6"/>
      <c r="E14" s="2"/>
      <c r="F14" s="4"/>
    </row>
    <row r="15" spans="1:6" ht="27" customHeight="1" x14ac:dyDescent="0.4">
      <c r="A15" s="2"/>
      <c r="B15" s="2"/>
      <c r="C15" s="6" t="s">
        <v>44</v>
      </c>
      <c r="D15" s="12"/>
      <c r="E15" s="2"/>
      <c r="F15" s="4"/>
    </row>
  </sheetData>
  <mergeCells count="4">
    <mergeCell ref="B5:E5"/>
    <mergeCell ref="C6:D6"/>
    <mergeCell ref="B8:E9"/>
    <mergeCell ref="B10:E11"/>
  </mergeCells>
  <phoneticPr fontId="20"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45</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2026-02-20。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46</v>
      </c>
    </row>
    <row r="11" spans="1:3" ht="16.5" customHeight="1" x14ac:dyDescent="0.35">
      <c r="A11" s="2"/>
      <c r="B11" s="2"/>
      <c r="C11" s="21"/>
    </row>
    <row r="12" spans="1:3" ht="40.5" customHeight="1" x14ac:dyDescent="0.35">
      <c r="A12" s="2"/>
      <c r="B12" s="2"/>
      <c r="C12" s="21" t="s">
        <v>47</v>
      </c>
    </row>
    <row r="13" spans="1:3" ht="16.5" customHeight="1" x14ac:dyDescent="0.35">
      <c r="A13" s="2"/>
      <c r="B13" s="2"/>
      <c r="C13" s="21"/>
    </row>
    <row r="14" spans="1:3" ht="16.5" customHeight="1" x14ac:dyDescent="0.35">
      <c r="A14" s="2"/>
      <c r="B14" s="2"/>
      <c r="C14" s="21" t="s">
        <v>48</v>
      </c>
    </row>
    <row r="15" spans="1:3" ht="16.5" customHeight="1" x14ac:dyDescent="0.35">
      <c r="A15" s="2"/>
      <c r="B15" s="2"/>
      <c r="C15" s="21"/>
    </row>
    <row r="16" spans="1:3" ht="54" customHeight="1" x14ac:dyDescent="0.35">
      <c r="A16" s="2"/>
      <c r="B16" s="2"/>
      <c r="C16" s="21" t="s">
        <v>49</v>
      </c>
    </row>
    <row r="17" spans="1:3" ht="16.5" customHeight="1" x14ac:dyDescent="0.35">
      <c r="A17" s="2"/>
      <c r="B17" s="2"/>
      <c r="C17" s="21"/>
    </row>
    <row r="18" spans="1:3" ht="103.5" customHeight="1" x14ac:dyDescent="0.35">
      <c r="A18" s="2"/>
      <c r="B18" s="2"/>
      <c r="C18" s="21" t="s">
        <v>50</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51</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12" sqref="D12"/>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52</v>
      </c>
      <c r="D8" s="31"/>
      <c r="E8" s="23"/>
      <c r="F8" s="23"/>
    </row>
    <row r="9" spans="1:6" ht="24" customHeight="1" x14ac:dyDescent="0.35">
      <c r="A9" s="2"/>
      <c r="B9" s="23"/>
      <c r="C9" s="32" t="s">
        <v>53</v>
      </c>
      <c r="D9" s="32" t="s">
        <v>54</v>
      </c>
      <c r="E9" s="23"/>
      <c r="F9" s="23"/>
    </row>
    <row r="10" spans="1:6" ht="18" customHeight="1" x14ac:dyDescent="0.35">
      <c r="A10" s="2"/>
      <c r="B10" s="23"/>
      <c r="C10" s="33" t="s">
        <v>55</v>
      </c>
      <c r="D10" s="34" t="s">
        <v>98</v>
      </c>
      <c r="E10" s="23"/>
      <c r="F10" s="23"/>
    </row>
    <row r="11" spans="1:6" ht="18" customHeight="1" x14ac:dyDescent="0.35">
      <c r="A11" s="2"/>
      <c r="B11" s="23"/>
      <c r="C11" s="33" t="s">
        <v>56</v>
      </c>
      <c r="D11" s="34" t="s">
        <v>41</v>
      </c>
      <c r="E11" s="23"/>
      <c r="F11" s="23"/>
    </row>
    <row r="12" spans="1:6" ht="18" customHeight="1" x14ac:dyDescent="0.35">
      <c r="A12" s="2"/>
      <c r="B12" s="23"/>
      <c r="C12" s="33" t="s">
        <v>57</v>
      </c>
      <c r="D12" s="34" t="s">
        <v>99</v>
      </c>
      <c r="E12" s="23"/>
      <c r="F12" s="23"/>
    </row>
    <row r="13" spans="1:6" ht="18" hidden="1" customHeight="1" x14ac:dyDescent="0.35">
      <c r="A13" s="2"/>
      <c r="B13" s="23"/>
      <c r="C13" s="33" t="s">
        <v>58</v>
      </c>
      <c r="D13" s="34"/>
      <c r="E13" s="23"/>
      <c r="F13" s="23"/>
    </row>
    <row r="14" spans="1:6" ht="18" hidden="1" customHeight="1" x14ac:dyDescent="0.35">
      <c r="A14" s="2"/>
      <c r="B14" s="23"/>
      <c r="C14" s="33" t="s">
        <v>59</v>
      </c>
      <c r="D14" s="34"/>
      <c r="E14" s="23"/>
      <c r="F14" s="23"/>
    </row>
    <row r="15" spans="1:6" ht="18" hidden="1" customHeight="1" x14ac:dyDescent="0.35">
      <c r="A15" s="2"/>
      <c r="B15" s="23"/>
      <c r="C15" s="33" t="s">
        <v>60</v>
      </c>
      <c r="D15" s="34"/>
      <c r="E15" s="23"/>
      <c r="F15" s="23"/>
    </row>
    <row r="16" spans="1:6" ht="18" customHeight="1" x14ac:dyDescent="0.35">
      <c r="A16" s="2"/>
      <c r="B16" s="23"/>
      <c r="C16" s="33" t="s">
        <v>61</v>
      </c>
      <c r="D16" s="34" t="s">
        <v>42</v>
      </c>
      <c r="E16" s="23"/>
      <c r="F16" s="23"/>
    </row>
    <row r="17" spans="1:6" ht="18" hidden="1" customHeight="1" x14ac:dyDescent="0.35">
      <c r="A17" s="2"/>
      <c r="B17" s="23"/>
      <c r="C17" s="33" t="s">
        <v>62</v>
      </c>
      <c r="D17" s="34"/>
      <c r="E17" s="23"/>
      <c r="F17" s="23"/>
    </row>
    <row r="18" spans="1:6" ht="18" hidden="1" customHeight="1" x14ac:dyDescent="0.35">
      <c r="A18" s="2"/>
      <c r="B18" s="23"/>
      <c r="C18" s="33" t="s">
        <v>63</v>
      </c>
      <c r="D18" s="34"/>
      <c r="E18" s="23"/>
      <c r="F18" s="23"/>
    </row>
    <row r="19" spans="1:6" ht="18" hidden="1" customHeight="1" x14ac:dyDescent="0.35">
      <c r="A19" s="2"/>
      <c r="B19" s="23"/>
      <c r="C19" s="33" t="s">
        <v>64</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65</v>
      </c>
      <c r="D1" t="s">
        <v>66</v>
      </c>
      <c r="E1" t="s">
        <v>67</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8"/>
      <c r="D6" s="48"/>
      <c r="E6" s="48"/>
    </row>
    <row r="7" spans="1:5" ht="12.75" customHeight="1" x14ac:dyDescent="0.35"/>
    <row r="8" spans="1:5" ht="12.75" customHeight="1" x14ac:dyDescent="0.35"/>
    <row r="9" spans="1:5" ht="24" customHeight="1" x14ac:dyDescent="0.35">
      <c r="C9" s="35" t="s">
        <v>15</v>
      </c>
      <c r="D9" s="35" t="s">
        <v>16</v>
      </c>
      <c r="E9" s="35" t="s">
        <v>17</v>
      </c>
    </row>
    <row r="10" spans="1:5" ht="12.75" x14ac:dyDescent="0.35">
      <c r="A10" t="s">
        <v>68</v>
      </c>
      <c r="C10" s="49" t="s">
        <v>69</v>
      </c>
      <c r="D10" s="51" t="s">
        <v>12</v>
      </c>
      <c r="E10" s="52"/>
    </row>
    <row r="11" spans="1:5" ht="23.25" outlineLevel="1" x14ac:dyDescent="0.35">
      <c r="A11" t="s">
        <v>70</v>
      </c>
      <c r="C11" s="53"/>
      <c r="D11" s="54" t="s">
        <v>18</v>
      </c>
      <c r="E11" s="55">
        <v>64</v>
      </c>
    </row>
    <row r="12" spans="1:5" ht="12.75" x14ac:dyDescent="0.35"/>
  </sheetData>
  <phoneticPr fontId="20"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14"/>
  <sheetViews>
    <sheetView topLeftCell="B2" workbookViewId="0"/>
  </sheetViews>
  <sheetFormatPr defaultColWidth="9.1328125" defaultRowHeight="13.5" x14ac:dyDescent="0.35"/>
  <cols>
    <col min="1" max="1" width="2" style="1" hidden="1" customWidth="1"/>
    <col min="2" max="2" width="2" style="1" customWidth="1"/>
    <col min="3" max="3" width="14.53125" style="1" customWidth="1"/>
    <col min="4" max="4" width="27.6640625" style="1" customWidth="1"/>
    <col min="5" max="11" width="11.3984375" style="1" customWidth="1"/>
    <col min="12" max="16384" width="9.1328125" style="1"/>
  </cols>
  <sheetData>
    <row r="1" spans="1:11" ht="12.75" hidden="1" customHeight="1" x14ac:dyDescent="0.35">
      <c r="C1" t="s">
        <v>71</v>
      </c>
      <c r="D1" t="s">
        <v>72</v>
      </c>
      <c r="E1" t="s">
        <v>73</v>
      </c>
      <c r="F1" t="s">
        <v>74</v>
      </c>
      <c r="G1" t="s">
        <v>75</v>
      </c>
      <c r="H1" t="s">
        <v>76</v>
      </c>
      <c r="I1" t="s">
        <v>77</v>
      </c>
      <c r="J1" t="s">
        <v>78</v>
      </c>
      <c r="K1" t="s">
        <v>79</v>
      </c>
    </row>
    <row r="2" spans="1:11" ht="12.75" customHeight="1" x14ac:dyDescent="0.35"/>
    <row r="3" spans="1:11" ht="12.75" customHeight="1" x14ac:dyDescent="0.35"/>
    <row r="4" spans="1:11" ht="12.75" customHeight="1" x14ac:dyDescent="0.35"/>
    <row r="5" spans="1:11" ht="12.75" customHeight="1" x14ac:dyDescent="0.35"/>
    <row r="6" spans="1:11" ht="12.75" customHeight="1" x14ac:dyDescent="0.35">
      <c r="C6" s="48"/>
      <c r="D6" s="48"/>
      <c r="E6" s="48"/>
      <c r="F6" s="48"/>
      <c r="G6" s="48"/>
      <c r="H6" s="48"/>
      <c r="I6" s="48"/>
      <c r="J6" s="48"/>
      <c r="K6" s="48"/>
    </row>
    <row r="7" spans="1:11" ht="12.75" customHeight="1" x14ac:dyDescent="0.35">
      <c r="C7" t="s">
        <v>80</v>
      </c>
    </row>
    <row r="8" spans="1:11" ht="12.75" customHeight="1" x14ac:dyDescent="0.35"/>
    <row r="9" spans="1:11" ht="30" customHeight="1" x14ac:dyDescent="0.35">
      <c r="A9"/>
      <c r="C9" s="82" t="s">
        <v>0</v>
      </c>
      <c r="D9" s="82" t="s">
        <v>1</v>
      </c>
      <c r="E9" s="83" t="s">
        <v>2</v>
      </c>
      <c r="F9" s="83"/>
      <c r="G9" s="83" t="s">
        <v>5</v>
      </c>
      <c r="H9" s="83"/>
      <c r="I9" s="83" t="s">
        <v>8</v>
      </c>
      <c r="J9" s="83"/>
      <c r="K9" s="83"/>
    </row>
    <row r="10" spans="1:11" ht="24.75" x14ac:dyDescent="0.35">
      <c r="C10" s="82"/>
      <c r="D10" s="82"/>
      <c r="E10" s="36" t="s">
        <v>3</v>
      </c>
      <c r="F10" s="36" t="s">
        <v>4</v>
      </c>
      <c r="G10" s="36" t="s">
        <v>6</v>
      </c>
      <c r="H10" s="36" t="s">
        <v>7</v>
      </c>
      <c r="I10" s="36" t="s">
        <v>9</v>
      </c>
      <c r="J10" s="36" t="s">
        <v>10</v>
      </c>
      <c r="K10" s="36" t="s">
        <v>11</v>
      </c>
    </row>
    <row r="11" spans="1:11" ht="23.25" x14ac:dyDescent="0.35">
      <c r="A11" t="s">
        <v>81</v>
      </c>
      <c r="C11" s="37" t="s">
        <v>12</v>
      </c>
      <c r="D11" s="38" t="s">
        <v>13</v>
      </c>
      <c r="E11" s="40">
        <v>3.2</v>
      </c>
      <c r="F11" s="40">
        <v>0</v>
      </c>
      <c r="G11" s="40">
        <v>3901.44</v>
      </c>
      <c r="H11" s="40">
        <v>0</v>
      </c>
      <c r="I11" s="41">
        <v>0</v>
      </c>
      <c r="J11" s="41">
        <v>0</v>
      </c>
      <c r="K11" s="42">
        <v>0</v>
      </c>
    </row>
    <row r="12" spans="1:11" ht="12.75" x14ac:dyDescent="0.35">
      <c r="A12" t="s">
        <v>82</v>
      </c>
      <c r="C12" s="43"/>
      <c r="D12" s="44" t="s">
        <v>14</v>
      </c>
      <c r="E12" s="45">
        <f t="shared" ref="E12:K12" si="0">E11</f>
        <v>3.2</v>
      </c>
      <c r="F12" s="45">
        <f t="shared" si="0"/>
        <v>0</v>
      </c>
      <c r="G12" s="45">
        <f t="shared" si="0"/>
        <v>3901.44</v>
      </c>
      <c r="H12" s="45">
        <f t="shared" si="0"/>
        <v>0</v>
      </c>
      <c r="I12" s="46">
        <f t="shared" si="0"/>
        <v>0</v>
      </c>
      <c r="J12" s="46">
        <f t="shared" si="0"/>
        <v>0</v>
      </c>
      <c r="K12" s="47">
        <f t="shared" si="0"/>
        <v>0</v>
      </c>
    </row>
    <row r="14" spans="1:11" ht="12.75" x14ac:dyDescent="0.35">
      <c r="C14" t="s">
        <v>83</v>
      </c>
    </row>
  </sheetData>
  <mergeCells count="5">
    <mergeCell ref="C9:C10"/>
    <mergeCell ref="D9:D10"/>
    <mergeCell ref="E9:F9"/>
    <mergeCell ref="G9:H9"/>
    <mergeCell ref="I9:K9"/>
  </mergeCells>
  <phoneticPr fontId="20"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15"/>
  <sheetViews>
    <sheetView topLeftCell="B2" workbookViewId="0"/>
  </sheetViews>
  <sheetFormatPr defaultColWidth="9.1328125" defaultRowHeight="13.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8" width="23.6640625" style="1" customWidth="1"/>
    <col min="9" max="9" width="6.265625" style="1" customWidth="1"/>
    <col min="10" max="10" width="14.265625" style="1" customWidth="1"/>
    <col min="11" max="11" width="14.53125" style="1" customWidth="1"/>
    <col min="12" max="16384" width="9.1328125" style="1"/>
  </cols>
  <sheetData>
    <row r="1" spans="1:11" ht="12.75" hidden="1" customHeight="1" x14ac:dyDescent="0.35">
      <c r="C1" t="s">
        <v>65</v>
      </c>
      <c r="D1" t="s">
        <v>84</v>
      </c>
      <c r="E1" t="s">
        <v>85</v>
      </c>
      <c r="F1" t="s">
        <v>66</v>
      </c>
      <c r="G1" t="s">
        <v>86</v>
      </c>
      <c r="H1" t="s">
        <v>87</v>
      </c>
      <c r="I1" t="s">
        <v>88</v>
      </c>
      <c r="J1" t="s">
        <v>89</v>
      </c>
      <c r="K1" t="s">
        <v>90</v>
      </c>
    </row>
    <row r="2" spans="1:11" ht="12.75" customHeight="1" x14ac:dyDescent="0.35"/>
    <row r="3" spans="1:11" ht="12.75" customHeight="1" x14ac:dyDescent="0.35"/>
    <row r="4" spans="1:11" ht="12.75" customHeight="1" x14ac:dyDescent="0.35"/>
    <row r="5" spans="1:11" ht="12.75" customHeight="1" x14ac:dyDescent="0.35"/>
    <row r="6" spans="1:11" ht="12.75" customHeight="1" x14ac:dyDescent="0.35">
      <c r="C6" s="48"/>
      <c r="D6" s="48"/>
      <c r="E6" s="48"/>
      <c r="F6" s="48"/>
      <c r="G6" s="48"/>
      <c r="H6" s="48"/>
      <c r="I6" s="48"/>
      <c r="J6" s="48"/>
      <c r="K6" s="48"/>
    </row>
    <row r="7" spans="1:11" ht="12.75" customHeight="1" x14ac:dyDescent="0.35"/>
    <row r="8" spans="1:11" ht="12.75" customHeight="1" x14ac:dyDescent="0.35"/>
    <row r="9" spans="1:11" ht="30" customHeight="1" x14ac:dyDescent="0.35">
      <c r="C9" s="35" t="s">
        <v>15</v>
      </c>
      <c r="D9" s="35" t="s">
        <v>21</v>
      </c>
      <c r="E9" s="35" t="s">
        <v>22</v>
      </c>
      <c r="F9" s="35" t="s">
        <v>23</v>
      </c>
      <c r="G9" s="35" t="s">
        <v>24</v>
      </c>
      <c r="H9" s="35" t="s">
        <v>25</v>
      </c>
      <c r="I9" s="35" t="s">
        <v>26</v>
      </c>
      <c r="J9" s="35" t="s">
        <v>27</v>
      </c>
      <c r="K9" s="35" t="s">
        <v>12</v>
      </c>
    </row>
    <row r="10" spans="1:11" ht="12.75" customHeight="1" x14ac:dyDescent="0.35">
      <c r="A10" t="s">
        <v>91</v>
      </c>
      <c r="C10" s="56"/>
      <c r="D10" s="84"/>
      <c r="E10" s="84"/>
      <c r="F10" s="85"/>
      <c r="G10" s="59"/>
      <c r="H10" s="59"/>
      <c r="I10" s="61"/>
      <c r="J10" s="65"/>
      <c r="K10" s="69" t="s">
        <v>38</v>
      </c>
    </row>
    <row r="11" spans="1:11" ht="12.75" x14ac:dyDescent="0.35">
      <c r="A11" t="s">
        <v>92</v>
      </c>
      <c r="C11" s="57" t="s">
        <v>69</v>
      </c>
      <c r="D11" s="86" t="s">
        <v>28</v>
      </c>
      <c r="E11" s="86" t="s">
        <v>28</v>
      </c>
      <c r="F11" s="87"/>
      <c r="G11" s="39"/>
      <c r="H11" s="39"/>
      <c r="I11" s="62"/>
      <c r="J11" s="66"/>
      <c r="K11" s="70"/>
    </row>
    <row r="12" spans="1:11" ht="12.75" outlineLevel="1" x14ac:dyDescent="0.35">
      <c r="A12" t="s">
        <v>93</v>
      </c>
      <c r="C12" s="49" t="s">
        <v>94</v>
      </c>
      <c r="D12" s="88" t="s">
        <v>29</v>
      </c>
      <c r="E12" s="88" t="s">
        <v>29</v>
      </c>
      <c r="F12" s="89"/>
      <c r="G12" s="51"/>
      <c r="H12" s="51"/>
      <c r="I12" s="63"/>
      <c r="J12" s="67"/>
      <c r="K12" s="71"/>
    </row>
    <row r="13" spans="1:11" ht="23.25" outlineLevel="2" x14ac:dyDescent="0.35">
      <c r="A13" t="s">
        <v>95</v>
      </c>
      <c r="C13" s="50"/>
      <c r="D13" s="58" t="s">
        <v>30</v>
      </c>
      <c r="E13" s="38" t="s">
        <v>32</v>
      </c>
      <c r="F13" s="38" t="s">
        <v>34</v>
      </c>
      <c r="G13" s="38"/>
      <c r="H13" s="60" t="s">
        <v>36</v>
      </c>
      <c r="I13" s="64">
        <f>K13</f>
        <v>64</v>
      </c>
      <c r="J13" s="68" t="s">
        <v>37</v>
      </c>
      <c r="K13" s="72">
        <v>64</v>
      </c>
    </row>
    <row r="14" spans="1:11" ht="23.25" outlineLevel="2" x14ac:dyDescent="0.35">
      <c r="A14" t="s">
        <v>96</v>
      </c>
      <c r="C14" s="53"/>
      <c r="D14" s="73" t="s">
        <v>31</v>
      </c>
      <c r="E14" s="54" t="s">
        <v>33</v>
      </c>
      <c r="F14" s="54" t="s">
        <v>35</v>
      </c>
      <c r="G14" s="54"/>
      <c r="H14" s="74" t="s">
        <v>36</v>
      </c>
      <c r="I14" s="75">
        <f>K14</f>
        <v>64</v>
      </c>
      <c r="J14" s="76" t="s">
        <v>37</v>
      </c>
      <c r="K14" s="77">
        <v>64</v>
      </c>
    </row>
    <row r="15" spans="1:11" ht="12.75" x14ac:dyDescent="0.35"/>
  </sheetData>
  <mergeCells count="3">
    <mergeCell ref="D10:F10"/>
    <mergeCell ref="D11:F11"/>
    <mergeCell ref="D12:F12"/>
  </mergeCells>
  <phoneticPr fontId="20" type="noConversion"/>
  <pageMargins left="0.51181102362204722" right="0.51181102362204722" top="0.51181102362204722" bottom="0.47244094488188981" header="7.874015748031496E-2" footer="0.1968503937007874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C1:D1"/>
  <sheetViews>
    <sheetView workbookViewId="0"/>
  </sheetViews>
  <sheetFormatPr defaultRowHeight="13.5" x14ac:dyDescent="0.35"/>
  <sheetData>
    <row r="1" spans="3:4" ht="12.75" x14ac:dyDescent="0.35">
      <c r="C1" t="s">
        <v>19</v>
      </c>
      <c r="D1" t="s">
        <v>20</v>
      </c>
    </row>
  </sheetData>
  <phoneticPr fontId="20" type="noConversion"/>
  <pageMargins left="0.51181102362204722" right="0.51181102362204722" top="0.51181102362204722" bottom="0.47244094488188981" header="7.874015748031496E-2" footer="0.196850393700787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41</vt:i4>
      </vt:variant>
    </vt:vector>
  </HeadingPairs>
  <TitlesOfParts>
    <vt:vector size="48" baseType="lpstr">
      <vt:lpstr>封面</vt:lpstr>
      <vt:lpstr>免责声明</vt:lpstr>
      <vt:lpstr>基础信息表</vt:lpstr>
      <vt:lpstr>汇总表</vt:lpstr>
      <vt:lpstr>统计</vt:lpstr>
      <vt:lpstr>CE16800-X16 V300R024</vt:lpstr>
      <vt:lpstr>tmp_v</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'CE16800-X16 V300R024'!CFGAREA</vt:lpstr>
      <vt:lpstr>汇总表!CFGAREA</vt:lpstr>
      <vt:lpstr>统计!CFGAREA</vt:lpstr>
      <vt:lpstr>封面!COMPANYNAME</vt:lpstr>
      <vt:lpstr>封面!CREATE_DATE</vt:lpstr>
      <vt:lpstr>封面!PONUMBER</vt:lpstr>
      <vt:lpstr>封面!PRICEID</vt:lpstr>
      <vt:lpstr>'CE16800-X16 V300R024'!Print_Area</vt:lpstr>
      <vt:lpstr>封面!Print_Area</vt:lpstr>
      <vt:lpstr>汇总表!Print_Area</vt:lpstr>
      <vt:lpstr>免责声明!Print_Area</vt:lpstr>
      <vt:lpstr>'CE16800-X16 V300R024'!Print_Titles</vt:lpstr>
      <vt:lpstr>汇总表!Print_Titles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统计!statistics</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2026-06-01T01:30:51Z</dcterms:modified>
</cp:coreProperties>
</file>