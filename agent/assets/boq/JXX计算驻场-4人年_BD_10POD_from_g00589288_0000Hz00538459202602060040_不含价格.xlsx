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filterPrivacy="1" defaultThemeVersion="124226"/>
  <xr:revisionPtr revIDLastSave="0" documentId="13_ncr:1_{1B4A6EBD-CC4F-41CE-B9EE-88291AFDBD08}" xr6:coauthVersionLast="47" xr6:coauthVersionMax="47" xr10:uidLastSave="{00000000-0000-0000-0000-000000000000}"/>
  <bookViews>
    <workbookView xWindow="-98" yWindow="-98" windowWidth="21795" windowHeight="12975" activeTab="2" xr2:uid="{00000000-000D-0000-FFFF-FFFF00000000}"/>
  </bookViews>
  <sheets>
    <sheet name="封面" sheetId="1" r:id="rId1"/>
    <sheet name="免责声明" sheetId="2" r:id="rId2"/>
    <sheet name="基础信息表" sheetId="3" r:id="rId3"/>
    <sheet name="汇总表" sheetId="4" r:id="rId4"/>
    <sheet name="(配置参数)专业服务" sheetId="7" r:id="rId5"/>
    <sheet name="tmp_v" sheetId="5" state="hidden" r:id="rId6"/>
    <sheet name="昇腾计算(A3)驻场服务" sheetId="6" r:id="rId7"/>
  </sheets>
  <definedNames>
    <definedName name="AGENTID" localSheetId="0">封面!$B$10</definedName>
    <definedName name="bAuthPriceName" localSheetId="2">基础信息表!$D$18</definedName>
    <definedName name="bContractNo" localSheetId="2">基础信息表!$D$14</definedName>
    <definedName name="bCountry" localSheetId="2">基础信息表!$D$16</definedName>
    <definedName name="bCountryName" localSheetId="2">基础信息表!$C$16</definedName>
    <definedName name="BOQ_FLAG" localSheetId="0">封面!$A$1</definedName>
    <definedName name="bPartnerName" localSheetId="2">基础信息表!$D$17</definedName>
    <definedName name="bPoNo" localSheetId="2">基础信息表!$D$15</definedName>
    <definedName name="bPriceBookName" localSheetId="2">基础信息表!$D$10</definedName>
    <definedName name="bPriceId" localSheetId="2">基础信息表!$D$11</definedName>
    <definedName name="bProposalNo" localSheetId="2">基础信息表!$D$13</definedName>
    <definedName name="bQuotationType" localSheetId="2">基础信息表!$D$19</definedName>
    <definedName name="bUserId" localSheetId="2">基础信息表!$D$12</definedName>
    <definedName name="CFGAREA" localSheetId="4">'(配置参数)专业服务'!$C$9:$E$9</definedName>
    <definedName name="CFGAREA" localSheetId="3">汇总表!$C$9:$E$11</definedName>
    <definedName name="CFGAREA" localSheetId="6">'昇腾计算(A3)驻场服务'!$C$9:$I$12</definedName>
    <definedName name="ColumnHeader" localSheetId="6">"locationid,productcfgid"</definedName>
    <definedName name="COMPANYNAME" localSheetId="0">封面!$C$14</definedName>
    <definedName name="CREATE_DATE" localSheetId="0">封面!$C$15</definedName>
    <definedName name="HasColumnHeader" localSheetId="6">"1"</definedName>
    <definedName name="L3PRODUCTCODE" localSheetId="6">""</definedName>
    <definedName name="PARAMAREA" localSheetId="4">'(配置参数)专业服务'!$C$10:$E$41</definedName>
    <definedName name="PONUMBER" localSheetId="0">封面!$B$9</definedName>
    <definedName name="PRICEID" localSheetId="0">封面!$B$8</definedName>
    <definedName name="_xlnm.Print_Area" localSheetId="0">封面!$B$2:$E$15</definedName>
    <definedName name="_xlnm.Print_Area" localSheetId="3">汇总表!$C$2:$E$11</definedName>
    <definedName name="_xlnm.Print_Area" localSheetId="1">免责声明!$C$1:$C$24</definedName>
    <definedName name="_xlnm.Print_Area" localSheetId="6">'昇腾计算(A3)驻场服务'!$C$2:$I$12</definedName>
    <definedName name="_xlnm.Print_Titles" localSheetId="3">汇总表!$B:$E,汇总表!$2:$9</definedName>
    <definedName name="_xlnm.Print_Titles" localSheetId="6">'昇腾计算(A3)驻场服务'!$B:$F,'昇腾计算(A3)驻场服务'!$2:$9</definedName>
    <definedName name="PROJECTCODE" localSheetId="0">封面!$J$2</definedName>
    <definedName name="PROJECTNAME" localSheetId="0">封面!$C$6</definedName>
    <definedName name="QF_SYS_CITYCOUNTRY1" localSheetId="3">"null"</definedName>
    <definedName name="QF_SYS_CITYCOUNTRY1" localSheetId="6">"null"</definedName>
    <definedName name="QF_SYS_CURRENCY1" localSheetId="3">"CNY"</definedName>
    <definedName name="QF_SYS_CURRENCY1" localSheetId="1">免责声明!$F$9</definedName>
    <definedName name="QF_SYS_CURRENCY1" localSheetId="6">"CNY"</definedName>
    <definedName name="QF_SYS_DESTINATION1" localSheetId="3">"null"</definedName>
    <definedName name="QF_SYS_DESTINATION1" localSheetId="1">免责声明!$F$14</definedName>
    <definedName name="QF_SYS_DESTINATION1" localSheetId="6">"null"</definedName>
    <definedName name="QF_SYS_DESTINATION2" localSheetId="3">"null"</definedName>
    <definedName name="QF_SYS_DESTINATION2" localSheetId="6">"null"</definedName>
    <definedName name="QF_SYS_DISTRIBUTIONCECURRENCY" localSheetId="1">免责声明!$J$9</definedName>
    <definedName name="QF_SYS_EXCHANGE1" localSheetId="3">"1.000000"</definedName>
    <definedName name="QF_SYS_EXCHANGE1" localSheetId="6">"1.000000"</definedName>
    <definedName name="QF_SYS_LISTPRICECURRENCY" localSheetId="3">"CNY"</definedName>
    <definedName name="QF_SYS_LISTPRICECURRENCY" localSheetId="1">免责声明!$F$10</definedName>
    <definedName name="QF_SYS_LISTPRICECURRENCY" localSheetId="6">"CNY"</definedName>
    <definedName name="QF_SYS_LK_DISCLAIMER" localSheetId="1">"产品生命周期：华为的产品生命周期受“产品生命周期政策”约束，采购商/渠道商/客户可在华为官网URL地址https://support.huawei.com/enterprise/zh/warranty-policy 中找到“产品生命周期政策”。"</definedName>
    <definedName name="QF_SYS_LK1_DISCLAIMER" localSheetId="1">"漏洞免责声明：除法律另有明确规定外，华为不保证包括但不限于第三方软件或开源软件在内的软件将无错误或不间断地运行，也不保证华为将纠正所有错误。此外，由于入侵和攻击网络的新技术的不断发展，华为不保证软件或使用该软件的任何设备、系统或网络不容易受到入侵或攻击。"</definedName>
    <definedName name="QF_SYS_LK2_DISCLAIMER" localSheetId="1">"第三方网络安全保修免责声明：任何第三方产品（由第三方通过华为提供)只能由供应商根据原始制造商/开发商的网络安全保修相关条款和条件提供。华为不提供额外的权利、保证、赔偿或支持。"</definedName>
    <definedName name="QF_SYS_LK3_DISCLAIMER" localSheetId="1">"华为不对另一方承担间接损失、利润损失、收入损失、机会损失、商誉或声誉损失、数据或信息损失以及利息损失的责任。在任何情况下，华为的总责任不得超过采购订单价值的20%。"</definedName>
    <definedName name="QF_SYS_LK4_DISCLAIMER" localSheetId="1">"变更管理：任何变更只有在双方商定、书面或电子邮件作出并经双方签字/确认的情况下才有效。"</definedName>
    <definedName name="QF_SYS_LK5_DISCLAIMER" localSheetId="1">"如果华为在本协议期限内停止生产和/或供应本协议中规定的任何产品，华为将保留在参数、功能特性和材料等方面提供和供应同等或更好的产品的权利。在计划更换前，华为会事先书面通知。"</definedName>
    <definedName name="QF_SYS_LK6_DISCLAIMER" localSheetId="1">"采购订单代表买方向华为购买产品和/或服务的要约，并经华为接受。在华为接受采购订单之前，任何采购订单都对华为具有约束力。华为将在收到采购订单后14天内通知买方接受或拒绝采购订单。"</definedName>
    <definedName name="QF_SYS_TRADETERMDESC1" localSheetId="3">"null"</definedName>
    <definedName name="QF_SYS_TRADETERMDESC1" localSheetId="1">免责声明!$F$12</definedName>
    <definedName name="QF_SYS_TRADETERMDESC1" localSheetId="6">"null"</definedName>
    <definedName name="QF_SYS_US_DISCLAIMER" localSheetId="1">"请访问华为网站（http://e.huawei.com/cn）获取详细的产品保修和产品说明（包括硬件、软件、服务等）。"</definedName>
    <definedName name="QF_SYS_VALIDDATE_SERVERPRODUCT" localSheetId="1">""</definedName>
    <definedName name="QF_SYS_VALIDITY_DATE" localSheetId="1">"2026-05-06"</definedName>
    <definedName name="QUOTATIONBY" localSheetId="0">封面!$B$7</definedName>
    <definedName name="QUOTATIONNO" localSheetId="0">封面!$J$3</definedName>
    <definedName name="QuoteType" localSheetId="3">"Explicit"</definedName>
    <definedName name="QuoteType" localSheetId="1">免责声明!$F$13</definedName>
    <definedName name="QuoteType" localSheetId="6">"Explicit"</definedName>
    <definedName name="SheetByID" localSheetId="4">"None"</definedName>
    <definedName name="SheetByID" localSheetId="0">"None"</definedName>
    <definedName name="SheetByID" localSheetId="3">"None"</definedName>
    <definedName name="SheetByID" localSheetId="2">"None"</definedName>
    <definedName name="SheetByID" localSheetId="1">"None"</definedName>
    <definedName name="SheetByID" localSheetId="6">"147025616,null"</definedName>
    <definedName name="SheetByName" localSheetId="4">"None"</definedName>
    <definedName name="SheetByName" localSheetId="0">"None"</definedName>
    <definedName name="SheetByName" localSheetId="3">"None"</definedName>
    <definedName name="SheetByName" localSheetId="2">"None"</definedName>
    <definedName name="SheetByName" localSheetId="1">"None"</definedName>
    <definedName name="SheetByName" localSheetId="6">"productid,subNetName"</definedName>
    <definedName name="SheetName" localSheetId="4">"(配置参数)专业服务"</definedName>
    <definedName name="SheetName" localSheetId="0">"封面"</definedName>
    <definedName name="SheetName" localSheetId="3">"汇总表"</definedName>
    <definedName name="SheetName" localSheetId="2">"基础信息表"</definedName>
    <definedName name="SheetName" localSheetId="1">"免责声明"</definedName>
    <definedName name="SheetName" localSheetId="6">"昇腾计算(A3)驻场服务"</definedName>
    <definedName name="SheetType" localSheetId="4">"None"</definedName>
    <definedName name="SheetType" localSheetId="0">"100001"</definedName>
    <definedName name="SheetType" localSheetId="3">"100003"</definedName>
    <definedName name="SheetType" localSheetId="2">"100001"</definedName>
    <definedName name="SheetType" localSheetId="1">"100002"</definedName>
    <definedName name="SheetType" localSheetId="6">"61"</definedName>
    <definedName name="USERID" localSheetId="0">封面!$A$4</definedName>
    <definedName name="VALID_AREA" localSheetId="0">封面!$A$1:$F$16</definedName>
    <definedName name="VALID_AREA" localSheetId="2">基础信息表!$A$1:$F$24</definedName>
    <definedName name="VALID_AREA" localSheetId="1">免责声明!$A$1:$C$22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2" i="6" l="1"/>
  <c r="C24" i="2"/>
  <c r="C20" i="2"/>
  <c r="C8" i="2"/>
</calcChain>
</file>

<file path=xl/sharedStrings.xml><?xml version="1.0" encoding="utf-8"?>
<sst xmlns="http://schemas.openxmlformats.org/spreadsheetml/2006/main" count="162" uniqueCount="112">
  <si>
    <t>序号</t>
  </si>
  <si>
    <t>配置名称</t>
  </si>
  <si>
    <t>数量</t>
  </si>
  <si>
    <t>站点1</t>
  </si>
  <si>
    <t>驻场服务</t>
  </si>
  <si>
    <t>其他服务汇总价</t>
  </si>
  <si>
    <t>汇总价</t>
  </si>
  <si>
    <t>部件编码</t>
  </si>
  <si>
    <t>型号</t>
  </si>
  <si>
    <t>描述</t>
  </si>
  <si>
    <t>总数</t>
  </si>
  <si>
    <t>参考备货周期
(天)</t>
  </si>
  <si>
    <t>5*8中级FO服务-计算，服务启动有效时长：2年内，1人48月</t>
  </si>
  <si>
    <t>8814344320</t>
  </si>
  <si>
    <t>昇腾计算(A3)驻场服务(驻场服务)</t>
  </si>
  <si>
    <t>参数项</t>
  </si>
  <si>
    <t>参数值</t>
  </si>
  <si>
    <t>驻场服务_站点1/1</t>
  </si>
  <si>
    <t>请选择产品线</t>
  </si>
  <si>
    <t>请选择产品族</t>
  </si>
  <si>
    <t>服务开始时间</t>
  </si>
  <si>
    <t>服务人数</t>
  </si>
  <si>
    <t>服务时长(年)</t>
  </si>
  <si>
    <t>服务时长(月)</t>
  </si>
  <si>
    <t>服务时长（年）</t>
  </si>
  <si>
    <t>服务时长（月）</t>
  </si>
  <si>
    <t>计算</t>
  </si>
  <si>
    <t>昇腾计算(A3)</t>
  </si>
  <si>
    <t>合同激活后30天</t>
  </si>
  <si>
    <t>0</t>
  </si>
  <si>
    <t>报价书</t>
  </si>
  <si>
    <t>0000Hz00538459202602060040</t>
  </si>
  <si>
    <t>互联网系统部</t>
  </si>
  <si>
    <t xml:space="preserve">
</t>
  </si>
  <si>
    <t>2026-02-06</t>
  </si>
  <si>
    <t>免责声明</t>
  </si>
  <si>
    <t>版本相关信息，请参阅表L3。</t>
  </si>
  <si>
    <t>如指定供应商资质不足或无法履行约定，华为有权另择供应商。</t>
  </si>
  <si>
    <t>现场线缆加长费用另付。</t>
  </si>
  <si>
    <t>重要声明：不论现场是否使用及使用的数量如何，中继线、光纤、以太网电缆、跳线、电源线、安装材料、辅料、馈线的总价已定。</t>
  </si>
  <si>
    <t>默认安装软件许可证声明：华为应用软件包可能包括默认安装软件许可证（ESL），即必须捆绑或集成华为应用软件或设备的第三方软件的许可证。该许可证仅供个体用户特定用途使用，不可单独维护或升级。ESL仅供华为应用包使用：（1）不得直接安装，配置，升级或修改；（2）非技术帮助用途，不可通过华为的应用包直接访问。</t>
  </si>
  <si>
    <t>不论其他条款如何约定，对于第三方产品的交付、质保、维保服务，按照第三方产品提供商提供的条款和条件执行。针对含软件第三方产品，若客户希望获取与源代码相关的服务，例如软件需求满足，软件质量问题解决，漏洞修复等以及质保期满后的维保服务，则需要客户与第三方产品提供商直接签署相关协议。华为将协助客户与第三方产品提供商签订相关协议。</t>
  </si>
  <si>
    <t>项目基本信息表</t>
  </si>
  <si>
    <t>参数名称</t>
  </si>
  <si>
    <t>报价单名称</t>
  </si>
  <si>
    <t>报价单号</t>
  </si>
  <si>
    <t>客户名称</t>
  </si>
  <si>
    <t>方案号</t>
  </si>
  <si>
    <t>合同号</t>
  </si>
  <si>
    <t>PO号</t>
  </si>
  <si>
    <t>政企业务部/业务部</t>
  </si>
  <si>
    <t>经销商名称</t>
  </si>
  <si>
    <t>授权价名称</t>
  </si>
  <si>
    <t>报价单类型</t>
  </si>
  <si>
    <t>COL_SORTNO.0</t>
  </si>
  <si>
    <t>COL_DESCRIPTION.0</t>
  </si>
  <si>
    <t>COL_ADD.0</t>
  </si>
  <si>
    <t>totalprice.0,otherservicetotalprice.9,isServicePart.7,locationid.1227478101,</t>
  </si>
  <si>
    <t>1</t>
  </si>
  <si>
    <t>totalprice.0,otherservicetotalprice.9,isServicePart.7,locationid.1227478101,productcfgid.94285208,productid.147025616,subnetid.null,cfgmodeltypeid.1,producttypeid.0,isquoteleaf.1</t>
  </si>
  <si>
    <t>COL_PARAMITEM.0</t>
  </si>
  <si>
    <t>COL_PARAMVALUE.0</t>
  </si>
  <si>
    <t>sitecfgid.驻场服务_站点1,prodmodelid.94285208,</t>
  </si>
  <si>
    <t>sitecfgid.驻场服务_站点1,prodmodelid.94285208,parameter.fatherParamCode.null,paramCode.PLline,</t>
  </si>
  <si>
    <t>sitecfgid.驻场服务_站点1,prodmodelid.94285208,parameter.fatherParamCode.null,paramCode.PLgruop,</t>
  </si>
  <si>
    <t>sitecfgid.驻场服务_站点1,prodmodelid.94285208,parameter.fatherParamCode.null,paramCode.PL_StartTime,</t>
  </si>
  <si>
    <t>sitecfgid.驻场服务_站点1,prodmodelid.94285208,midLayer.fatherParamCode.null,paramCode.PL801011548,</t>
  </si>
  <si>
    <t>===5x8初级驻场服务(包)====</t>
  </si>
  <si>
    <t>sitecfgid.驻场服务_站点1,prodmodelid.94285208,parameter.fatherParamCode.PL801011548,paramCode.PL801011549,</t>
  </si>
  <si>
    <t>sitecfgid.驻场服务_站点1,prodmodelid.94285208,parameter.fatherParamCode.PL801011548,paramCode.PL801011550,</t>
  </si>
  <si>
    <t>sitecfgid.驻场服务_站点1,prodmodelid.94285208,parameter.fatherParamCode.PL801011548,paramCode.P_58PSvcMonth,</t>
  </si>
  <si>
    <t>sitecfgid.驻场服务_站点1,prodmodelid.94285208,midLayer.fatherParamCode.null,paramCode.PL801011551,</t>
  </si>
  <si>
    <t>===5x8中级驻场服务(包)====</t>
  </si>
  <si>
    <t>sitecfgid.驻场服务_站点1,prodmodelid.94285208,parameter.fatherParamCode.PL801011551,paramCode.PL801011552,</t>
  </si>
  <si>
    <t>sitecfgid.驻场服务_站点1,prodmodelid.94285208,parameter.fatherParamCode.PL801011551,paramCode.PL801011553,</t>
  </si>
  <si>
    <t>sitecfgid.驻场服务_站点1,prodmodelid.94285208,parameter.fatherParamCode.PL801011551,paramCode.P_58ISvcMonth,</t>
  </si>
  <si>
    <t>sitecfgid.驻场服务_站点1,prodmodelid.94285208,midLayer.fatherParamCode.null,paramCode.PL801011554,</t>
  </si>
  <si>
    <t>===5x8高级驻场服务(包)====</t>
  </si>
  <si>
    <t>sitecfgid.驻场服务_站点1,prodmodelid.94285208,parameter.fatherParamCode.PL801011554,paramCode.PL801011555,</t>
  </si>
  <si>
    <t>sitecfgid.驻场服务_站点1,prodmodelid.94285208,parameter.fatherParamCode.PL801011554,paramCode.PL801011556,</t>
  </si>
  <si>
    <t>sitecfgid.驻场服务_站点1,prodmodelid.94285208,parameter.fatherParamCode.PL801011554,paramCode.P_58ASvcMonth,</t>
  </si>
  <si>
    <t>sitecfgid.驻场服务_站点1,prodmodelid.94285208,midLayer.fatherParamCode.null,paramCode.PL801011557,</t>
  </si>
  <si>
    <t>===7x24初级驻场服务(包)====</t>
  </si>
  <si>
    <t>sitecfgid.驻场服务_站点1,prodmodelid.94285208,parameter.fatherParamCode.PL801011557,paramCode.PL801011558,</t>
  </si>
  <si>
    <t>sitecfgid.驻场服务_站点1,prodmodelid.94285208,parameter.fatherParamCode.PL801011557,paramCode.PL801011559,</t>
  </si>
  <si>
    <t>sitecfgid.驻场服务_站点1,prodmodelid.94285208,parameter.fatherParamCode.PL801011557,paramCode.P_724PSvcMonth,</t>
  </si>
  <si>
    <t>sitecfgid.驻场服务_站点1,prodmodelid.94285208,midLayer.fatherParamCode.null,paramCode.PL801011560,</t>
  </si>
  <si>
    <t>===7x24中级驻场服务(包)====</t>
  </si>
  <si>
    <t>sitecfgid.驻场服务_站点1,prodmodelid.94285208,parameter.fatherParamCode.PL801011560,paramCode.PL801011561,</t>
  </si>
  <si>
    <t>sitecfgid.驻场服务_站点1,prodmodelid.94285208,parameter.fatherParamCode.PL801011560,paramCode.PL801011562,</t>
  </si>
  <si>
    <t>sitecfgid.驻场服务_站点1,prodmodelid.94285208,parameter.fatherParamCode.PL801011560,paramCode.P_724ISvcMonth,</t>
  </si>
  <si>
    <t>sitecfgid.驻场服务_站点1,prodmodelid.94285208,midLayer.fatherParamCode.null,paramCode.PL801011563,</t>
  </si>
  <si>
    <t>===7x24高级驻场服务(包)====</t>
  </si>
  <si>
    <t>sitecfgid.驻场服务_站点1,prodmodelid.94285208,parameter.fatherParamCode.PL801011563,paramCode.PL801011564,</t>
  </si>
  <si>
    <t>sitecfgid.驻场服务_站点1,prodmodelid.94285208,parameter.fatherParamCode.PL801011563,paramCode.PL801011565,</t>
  </si>
  <si>
    <t>sitecfgid.驻场服务_站点1,prodmodelid.94285208,parameter.fatherParamCode.PL801011563,paramCode.P_724ASvcMonth,</t>
  </si>
  <si>
    <t>sitecfgid.驻场服务_站点1,prodmodelid.94285208,midLayer.fatherParamCode.null,paramCode.PL801282514,</t>
  </si>
  <si>
    <t>===5x8驻场运维技术经理服务(包)-合作人员====（仅适用于集群计算场景）</t>
  </si>
  <si>
    <t>sitecfgid.驻场服务_站点1,prodmodelid.94285208,parameter.fatherParamCode.PL801282514,paramCode.PL801282515,</t>
  </si>
  <si>
    <t>sitecfgid.驻场服务_站点1,prodmodelid.94285208,parameter.fatherParamCode.PL801282514,paramCode.PL801282516,</t>
  </si>
  <si>
    <t>sitecfgid.驻场服务_站点1,prodmodelid.94285208,parameter.fatherParamCode.PL801282514,paramCode.PL801282517,</t>
  </si>
  <si>
    <t>COL_SALECODE.0</t>
  </si>
  <si>
    <t>COL_MODEL.0</t>
  </si>
  <si>
    <t>COL_SUM_ADD.0</t>
  </si>
  <si>
    <t>COL_LEADTIME.0</t>
  </si>
  <si>
    <t>locationid.1227478101,productcfgid.94285208,cfgmodeltypeid.1,productid.147025616,COL_ADD.0</t>
  </si>
  <si>
    <t>productmodelshowid.null,productid.147025616,</t>
  </si>
  <si>
    <t>productmodelshowid.null,productid.147025616,productid.147025616,subnetid.null,</t>
  </si>
  <si>
    <t>productmodelshowid.null,productid.147025616,productid.147025616,subnetid.null,sbomid1.-1468032078,fathersbomid.0,uniqueId.4640732.5106,productid.147025616,producttypeid.0,partnumber.8814344320,erpid.-13606448,discountcategoryid.7142,multidiscountcategoryid.7142_4640732510600001,isServicePart.7,desc.-1963886448,isquoteleaf.1,isquoteitem.1</t>
  </si>
  <si>
    <t>-</t>
  </si>
  <si>
    <r>
      <t>JXX</t>
    </r>
    <r>
      <rPr>
        <b/>
        <sz val="22"/>
        <rFont val="微软雅黑"/>
        <family val="2"/>
        <charset val="134"/>
      </rPr>
      <t>计算驻场</t>
    </r>
    <r>
      <rPr>
        <b/>
        <sz val="22"/>
        <rFont val="Arial"/>
        <family val="2"/>
      </rPr>
      <t>-4</t>
    </r>
    <r>
      <rPr>
        <b/>
        <sz val="22"/>
        <rFont val="微软雅黑"/>
        <family val="2"/>
        <charset val="134"/>
      </rPr>
      <t>人年</t>
    </r>
    <r>
      <rPr>
        <b/>
        <sz val="22"/>
        <rFont val="Arial"/>
        <family val="2"/>
      </rPr>
      <t>_BD_10POD_from_g00589288</t>
    </r>
    <phoneticPr fontId="19" type="noConversion"/>
  </si>
  <si>
    <r>
      <t>JXX</t>
    </r>
    <r>
      <rPr>
        <sz val="9"/>
        <rFont val="微软雅黑"/>
        <family val="2"/>
        <charset val="134"/>
      </rPr>
      <t>计算驻场</t>
    </r>
    <r>
      <rPr>
        <sz val="9"/>
        <rFont val="Arial"/>
        <family val="2"/>
      </rPr>
      <t>-4</t>
    </r>
    <r>
      <rPr>
        <sz val="9"/>
        <rFont val="微软雅黑"/>
        <family val="2"/>
        <charset val="134"/>
      </rPr>
      <t>人年</t>
    </r>
    <r>
      <rPr>
        <sz val="9"/>
        <rFont val="Arial"/>
        <family val="2"/>
      </rPr>
      <t>_BD_10POD_from_g00589288</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</si>
</sst>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Red]\-0\ "/>
    <numFmt numFmtId="177" formatCode="#,##0.00_);[Red]\(#,##0.00\)"/>
  </numFmts>
  <fonts count="22" x14ac:knownFonts="1">
    <font>
      <sz val="10"/>
      <name val="Arial"/>
      <family val="2"/>
    </font>
    <font>
      <sz val="8"/>
      <name val="Arial"/>
      <family val="2"/>
    </font>
    <font>
      <sz val="12"/>
      <name val="Arial"/>
      <family val="2"/>
    </font>
    <font>
      <b/>
      <sz val="26"/>
      <name val="微软雅黑"/>
      <family val="2"/>
    </font>
    <font>
      <b/>
      <sz val="20"/>
      <name val="Arial"/>
      <family val="2"/>
    </font>
    <font>
      <b/>
      <sz val="22"/>
      <name val="Arial"/>
      <family val="2"/>
    </font>
    <font>
      <b/>
      <sz val="16"/>
      <name val="Arial"/>
      <family val="2"/>
    </font>
    <font>
      <sz val="16"/>
      <name val="Arial"/>
      <family val="2"/>
    </font>
    <font>
      <b/>
      <sz val="14"/>
      <name val="Arial"/>
      <family val="2"/>
    </font>
    <font>
      <b/>
      <sz val="14"/>
      <name val="微软雅黑"/>
      <family val="2"/>
    </font>
    <font>
      <b/>
      <sz val="16"/>
      <name val="微软雅黑"/>
      <family val="2"/>
    </font>
    <font>
      <sz val="8"/>
      <name val="微软雅黑"/>
      <family val="2"/>
    </font>
    <font>
      <b/>
      <sz val="12"/>
      <name val="微软雅黑"/>
      <family val="2"/>
    </font>
    <font>
      <sz val="10"/>
      <name val="微软雅黑"/>
      <family val="2"/>
    </font>
    <font>
      <sz val="10"/>
      <color indexed="12"/>
      <name val="微软雅黑"/>
      <family val="2"/>
    </font>
    <font>
      <sz val="9"/>
      <name val="Arial"/>
      <family val="2"/>
    </font>
    <font>
      <b/>
      <sz val="9"/>
      <name val="Arial"/>
      <family val="2"/>
    </font>
    <font>
      <b/>
      <sz val="9"/>
      <name val="微软雅黑"/>
      <family val="2"/>
    </font>
    <font>
      <b/>
      <sz val="10"/>
      <name val="微软雅黑"/>
      <family val="2"/>
    </font>
    <font>
      <sz val="9"/>
      <name val="宋体"/>
      <family val="3"/>
      <charset val="134"/>
    </font>
    <font>
      <b/>
      <sz val="22"/>
      <name val="微软雅黑"/>
      <family val="2"/>
      <charset val="134"/>
    </font>
    <font>
      <sz val="9"/>
      <name val="微软雅黑"/>
      <family val="2"/>
      <charset val="134"/>
    </font>
  </fonts>
  <fills count="7">
    <fill>
      <patternFill patternType="none"/>
    </fill>
    <fill>
      <patternFill patternType="gray125"/>
    </fill>
    <fill>
      <patternFill patternType="solid">
        <fgColor indexed="23"/>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43"/>
        <bgColor indexed="64"/>
      </patternFill>
    </fill>
  </fills>
  <borders count="11">
    <border>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s>
  <cellStyleXfs count="1">
    <xf numFmtId="0" fontId="0" fillId="0" borderId="0">
      <alignment vertical="center"/>
    </xf>
  </cellStyleXfs>
  <cellXfs count="74">
    <xf numFmtId="0" fontId="0" fillId="0" borderId="0" xfId="0">
      <alignment vertical="center"/>
    </xf>
    <xf numFmtId="0" fontId="0" fillId="0" borderId="0" xfId="0" applyAlignment="1" applyProtection="1">
      <protection locked="0"/>
    </xf>
    <xf numFmtId="0" fontId="1" fillId="0" borderId="0" xfId="0" applyFont="1" applyProtection="1">
      <alignment vertical="center"/>
      <protection locked="0"/>
    </xf>
    <xf numFmtId="0" fontId="2" fillId="0" borderId="0" xfId="0" applyFont="1" applyAlignment="1" applyProtection="1">
      <protection locked="0"/>
    </xf>
    <xf numFmtId="0" fontId="2" fillId="2" borderId="0" xfId="0" applyFont="1" applyFill="1" applyAlignment="1" applyProtection="1">
      <protection locked="0"/>
    </xf>
    <xf numFmtId="0" fontId="4" fillId="0" borderId="0" xfId="0" applyFont="1" applyAlignment="1" applyProtection="1">
      <alignment horizontal="centerContinuous" vertical="center"/>
      <protection locked="0"/>
    </xf>
    <xf numFmtId="49" fontId="6" fillId="0" borderId="0" xfId="0" applyNumberFormat="1" applyFont="1" applyAlignment="1" applyProtection="1">
      <alignment horizontal="centerContinuous" vertical="center"/>
      <protection locked="0"/>
    </xf>
    <xf numFmtId="0" fontId="7" fillId="0" borderId="0" xfId="0" applyFont="1" applyAlignment="1" applyProtection="1">
      <alignment horizontal="centerContinuous" vertical="center"/>
      <protection locked="0"/>
    </xf>
    <xf numFmtId="0" fontId="8" fillId="2" borderId="0" xfId="0" applyFont="1" applyFill="1" applyAlignment="1" applyProtection="1">
      <protection locked="0"/>
    </xf>
    <xf numFmtId="15" fontId="6" fillId="0" borderId="0" xfId="0" applyNumberFormat="1" applyFont="1" applyAlignment="1" applyProtection="1">
      <alignment horizontal="right" vertical="center"/>
      <protection locked="0"/>
    </xf>
    <xf numFmtId="30" fontId="6" fillId="0" borderId="0" xfId="0" applyNumberFormat="1" applyFont="1" applyAlignment="1" applyProtection="1">
      <alignment horizontal="left" vertical="center"/>
      <protection locked="0"/>
    </xf>
    <xf numFmtId="49" fontId="10" fillId="0" borderId="0" xfId="0" applyNumberFormat="1" applyFont="1" applyAlignment="1" applyProtection="1">
      <alignment horizontal="centerContinuous" vertical="center" wrapText="1"/>
      <protection locked="0"/>
    </xf>
    <xf numFmtId="30" fontId="2" fillId="0" borderId="0" xfId="0" applyNumberFormat="1" applyFont="1" applyAlignment="1" applyProtection="1">
      <alignment horizontal="centerContinuous" vertical="center"/>
      <protection locked="0"/>
    </xf>
    <xf numFmtId="0" fontId="11" fillId="0" borderId="0" xfId="0" applyFont="1" applyAlignment="1" applyProtection="1">
      <protection locked="0"/>
    </xf>
    <xf numFmtId="49" fontId="11" fillId="0" borderId="0" xfId="0" applyNumberFormat="1" applyFont="1" applyProtection="1">
      <alignment vertical="center"/>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right" vertical="center"/>
      <protection locked="0"/>
    </xf>
    <xf numFmtId="0" fontId="12" fillId="0" borderId="0" xfId="0" applyFont="1" applyAlignment="1" applyProtection="1">
      <alignment horizontal="right" vertical="center" wrapText="1"/>
      <protection locked="0"/>
    </xf>
    <xf numFmtId="0" fontId="13" fillId="0" borderId="1" xfId="0" applyFont="1" applyBorder="1" applyAlignment="1" applyProtection="1">
      <alignment vertical="center" wrapText="1"/>
      <protection locked="0"/>
    </xf>
    <xf numFmtId="0" fontId="12" fillId="0" borderId="0" xfId="0" applyFont="1" applyAlignment="1" applyProtection="1">
      <alignment horizontal="center" vertical="center" wrapText="1"/>
      <protection locked="0"/>
    </xf>
    <xf numFmtId="0" fontId="13" fillId="0" borderId="0" xfId="0" applyFont="1" applyAlignment="1" applyProtection="1">
      <alignment vertical="center" wrapText="1"/>
      <protection locked="0"/>
    </xf>
    <xf numFmtId="0" fontId="13" fillId="0" borderId="0" xfId="0" applyFont="1" applyAlignment="1" applyProtection="1">
      <alignment horizontal="left" vertical="center" wrapText="1"/>
      <protection locked="0"/>
    </xf>
    <xf numFmtId="0" fontId="14" fillId="0" borderId="0" xfId="0" applyFont="1" applyAlignment="1" applyProtection="1">
      <alignment horizontal="left" vertical="center" wrapText="1"/>
      <protection locked="0"/>
    </xf>
    <xf numFmtId="0" fontId="15" fillId="0" borderId="0" xfId="0" applyFont="1" applyAlignment="1" applyProtection="1">
      <protection locked="0"/>
    </xf>
    <xf numFmtId="0" fontId="15" fillId="0" borderId="0" xfId="0" applyFont="1" applyProtection="1">
      <alignment vertical="center"/>
      <protection locked="0"/>
    </xf>
    <xf numFmtId="0" fontId="15" fillId="0" borderId="0" xfId="0" applyFont="1" applyAlignment="1" applyProtection="1">
      <alignment horizontal="centerContinuous" vertical="center"/>
      <protection locked="0"/>
    </xf>
    <xf numFmtId="0" fontId="15" fillId="0" borderId="0" xfId="0" applyFont="1" applyAlignment="1" applyProtection="1">
      <alignment horizontal="right" vertical="center"/>
      <protection locked="0"/>
    </xf>
    <xf numFmtId="0" fontId="15" fillId="0" borderId="2" xfId="0" applyFont="1" applyBorder="1" applyProtection="1">
      <alignment vertical="center"/>
      <protection locked="0"/>
    </xf>
    <xf numFmtId="0" fontId="15" fillId="0" borderId="2" xfId="0" applyFont="1" applyBorder="1" applyAlignment="1" applyProtection="1">
      <alignment horizontal="centerContinuous" vertical="center"/>
      <protection locked="0"/>
    </xf>
    <xf numFmtId="49" fontId="16" fillId="0" borderId="0" xfId="0" applyNumberFormat="1" applyFont="1" applyAlignment="1" applyProtection="1">
      <alignment horizontal="centerContinuous" vertical="center"/>
      <protection locked="0"/>
    </xf>
    <xf numFmtId="0" fontId="17" fillId="0" borderId="1" xfId="0" applyFont="1" applyBorder="1" applyProtection="1">
      <alignment vertical="center"/>
      <protection locked="0"/>
    </xf>
    <xf numFmtId="0" fontId="15" fillId="0" borderId="1" xfId="0" applyFont="1" applyBorder="1" applyProtection="1">
      <alignment vertical="center"/>
      <protection locked="0"/>
    </xf>
    <xf numFmtId="2" fontId="18" fillId="3" borderId="3" xfId="0" applyNumberFormat="1" applyFont="1" applyFill="1" applyBorder="1" applyAlignment="1" applyProtection="1">
      <alignment horizontal="center" vertical="center" wrapText="1"/>
      <protection locked="0"/>
    </xf>
    <xf numFmtId="0" fontId="15" fillId="4" borderId="3" xfId="0" applyFont="1" applyFill="1" applyBorder="1" applyProtection="1">
      <alignment vertical="center"/>
      <protection locked="0"/>
    </xf>
    <xf numFmtId="0" fontId="15" fillId="5" borderId="3" xfId="0" applyFont="1" applyFill="1" applyBorder="1" applyAlignment="1" applyProtection="1">
      <alignment horizontal="left" vertical="center" wrapText="1"/>
      <protection locked="0"/>
    </xf>
    <xf numFmtId="0" fontId="18" fillId="3" borderId="4" xfId="0" applyFont="1" applyFill="1" applyBorder="1" applyAlignment="1" applyProtection="1">
      <alignment horizontal="center" vertical="center" wrapText="1"/>
      <protection locked="0"/>
    </xf>
    <xf numFmtId="49" fontId="16" fillId="6" borderId="5" xfId="0" applyNumberFormat="1" applyFont="1" applyFill="1" applyBorder="1" applyAlignment="1" applyProtection="1">
      <alignment horizontal="left" vertical="center"/>
      <protection locked="0"/>
    </xf>
    <xf numFmtId="0" fontId="16" fillId="6" borderId="6" xfId="0" applyFont="1" applyFill="1" applyBorder="1" applyAlignment="1" applyProtection="1">
      <alignment horizontal="left" vertical="center" wrapText="1"/>
      <protection locked="0"/>
    </xf>
    <xf numFmtId="0" fontId="15" fillId="0" borderId="6" xfId="0" applyFont="1" applyBorder="1" applyAlignment="1" applyProtection="1">
      <alignment horizontal="left" vertical="center" wrapText="1"/>
      <protection locked="0"/>
    </xf>
    <xf numFmtId="0" fontId="16" fillId="6" borderId="7" xfId="0" applyFont="1" applyFill="1" applyBorder="1" applyAlignment="1" applyProtection="1">
      <alignment horizontal="center" vertical="center" wrapText="1"/>
      <protection locked="0"/>
    </xf>
    <xf numFmtId="49" fontId="15" fillId="0" borderId="8" xfId="0" applyNumberFormat="1" applyFont="1" applyBorder="1" applyAlignment="1" applyProtection="1">
      <alignment horizontal="left" vertical="center"/>
      <protection locked="0"/>
    </xf>
    <xf numFmtId="0" fontId="15" fillId="0" borderId="9" xfId="0" applyFont="1" applyBorder="1" applyAlignment="1" applyProtection="1">
      <alignment horizontal="left" vertical="center" wrapText="1"/>
      <protection locked="0"/>
    </xf>
    <xf numFmtId="0" fontId="15" fillId="0" borderId="10" xfId="0" applyFont="1" applyBorder="1" applyAlignment="1" applyProtection="1">
      <alignment horizontal="center" vertical="center" wrapText="1"/>
      <protection locked="0"/>
    </xf>
    <xf numFmtId="0" fontId="0" fillId="0" borderId="2" xfId="0" applyBorder="1" applyAlignment="1" applyProtection="1">
      <protection locked="0"/>
    </xf>
    <xf numFmtId="49" fontId="16" fillId="0" borderId="5" xfId="0" applyNumberFormat="1" applyFont="1" applyBorder="1" applyAlignment="1" applyProtection="1">
      <alignment horizontal="left" vertical="center"/>
      <protection locked="0"/>
    </xf>
    <xf numFmtId="49" fontId="16" fillId="3" borderId="5"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xf numFmtId="176" fontId="16" fillId="0" borderId="6" xfId="0" applyNumberFormat="1" applyFont="1" applyBorder="1" applyAlignment="1" applyProtection="1">
      <alignment horizontal="center" vertical="center"/>
      <protection locked="0"/>
    </xf>
    <xf numFmtId="176" fontId="16" fillId="3" borderId="6" xfId="0" applyNumberFormat="1" applyFont="1" applyFill="1" applyBorder="1" applyAlignment="1" applyProtection="1">
      <alignment horizontal="center" vertical="center"/>
      <protection locked="0"/>
    </xf>
    <xf numFmtId="0" fontId="16" fillId="0" borderId="6" xfId="0" applyFont="1" applyBorder="1" applyAlignment="1" applyProtection="1">
      <alignment horizontal="center" vertical="center"/>
      <protection locked="0"/>
    </xf>
    <xf numFmtId="0" fontId="16" fillId="3" borderId="6" xfId="0" applyFont="1" applyFill="1" applyBorder="1" applyAlignment="1" applyProtection="1">
      <alignment horizontal="center" vertical="center"/>
      <protection locked="0"/>
    </xf>
    <xf numFmtId="49" fontId="16" fillId="0" borderId="7" xfId="0" applyNumberFormat="1" applyFont="1" applyBorder="1" applyAlignment="1" applyProtection="1">
      <alignment horizontal="center" vertical="top" wrapText="1"/>
      <protection locked="0"/>
    </xf>
    <xf numFmtId="40" fontId="16" fillId="3" borderId="7" xfId="0" applyNumberFormat="1" applyFont="1" applyFill="1" applyBorder="1" applyAlignment="1" applyProtection="1">
      <alignment horizontal="right" vertical="center" shrinkToFit="1"/>
      <protection locked="0"/>
    </xf>
    <xf numFmtId="49" fontId="15" fillId="0" borderId="9" xfId="0" applyNumberFormat="1" applyFont="1" applyBorder="1" applyAlignment="1" applyProtection="1">
      <alignment horizontal="left" vertical="center"/>
      <protection locked="0"/>
    </xf>
    <xf numFmtId="176" fontId="15" fillId="0" borderId="9" xfId="0" applyNumberFormat="1" applyFont="1" applyBorder="1" applyAlignment="1" applyProtection="1">
      <alignment horizontal="center" vertical="center"/>
      <protection locked="0"/>
    </xf>
    <xf numFmtId="0" fontId="15" fillId="0" borderId="9" xfId="0" quotePrefix="1" applyFont="1" applyBorder="1" applyAlignment="1" applyProtection="1">
      <alignment horizontal="center" vertical="center"/>
      <protection locked="0"/>
    </xf>
    <xf numFmtId="176" fontId="15" fillId="0" borderId="10" xfId="0" applyNumberFormat="1" applyFont="1" applyBorder="1" applyAlignment="1" applyProtection="1">
      <alignment horizontal="center" vertical="center"/>
      <protection locked="0"/>
    </xf>
    <xf numFmtId="49" fontId="16" fillId="3" borderId="5" xfId="0" applyNumberFormat="1" applyFont="1" applyFill="1" applyBorder="1" applyAlignment="1" applyProtection="1">
      <alignment horizontal="left" vertical="center" wrapText="1"/>
      <protection locked="0"/>
    </xf>
    <xf numFmtId="49" fontId="15" fillId="0" borderId="5" xfId="0" applyNumberFormat="1" applyFont="1" applyBorder="1" applyAlignment="1" applyProtection="1">
      <alignment horizontal="left" vertical="center" wrapText="1"/>
      <protection locked="0"/>
    </xf>
    <xf numFmtId="49" fontId="16" fillId="4" borderId="5" xfId="0" applyNumberFormat="1" applyFont="1" applyFill="1" applyBorder="1" applyAlignment="1" applyProtection="1">
      <alignment horizontal="left" vertical="center" wrapText="1"/>
      <protection locked="0"/>
    </xf>
    <xf numFmtId="0" fontId="16" fillId="4" borderId="6" xfId="0" quotePrefix="1" applyFont="1" applyFill="1" applyBorder="1" applyAlignment="1" applyProtection="1">
      <alignment horizontal="left" vertical="center" wrapText="1"/>
      <protection locked="0"/>
    </xf>
    <xf numFmtId="177" fontId="16" fillId="3" borderId="7" xfId="0" applyNumberFormat="1" applyFont="1" applyFill="1" applyBorder="1" applyAlignment="1" applyProtection="1">
      <alignment horizontal="left" vertical="center" wrapText="1"/>
      <protection locked="0"/>
    </xf>
    <xf numFmtId="177" fontId="15" fillId="0" borderId="7" xfId="0" applyNumberFormat="1" applyFont="1" applyBorder="1" applyAlignment="1" applyProtection="1">
      <alignment horizontal="left" vertical="center" wrapText="1"/>
      <protection locked="0"/>
    </xf>
    <xf numFmtId="177" fontId="16" fillId="4" borderId="7" xfId="0" applyNumberFormat="1" applyFont="1" applyFill="1" applyBorder="1" applyAlignment="1" applyProtection="1">
      <alignment horizontal="left" vertical="center" wrapText="1"/>
      <protection locked="0"/>
    </xf>
    <xf numFmtId="49" fontId="15" fillId="0" borderId="8" xfId="0" applyNumberFormat="1" applyFont="1" applyBorder="1" applyAlignment="1" applyProtection="1">
      <alignment horizontal="left" vertical="center" wrapText="1"/>
      <protection locked="0"/>
    </xf>
    <xf numFmtId="177" fontId="15" fillId="0" borderId="10" xfId="0" applyNumberFormat="1" applyFont="1" applyBorder="1" applyAlignment="1" applyProtection="1">
      <alignment horizontal="left" vertical="center" wrapText="1"/>
      <protection locked="0"/>
    </xf>
    <xf numFmtId="49" fontId="3" fillId="0" borderId="0" xfId="0" applyNumberFormat="1" applyFont="1" applyAlignment="1" applyProtection="1">
      <alignment horizontal="center" vertical="center" wrapText="1"/>
      <protection locked="0"/>
    </xf>
    <xf numFmtId="0" fontId="5" fillId="0" borderId="0" xfId="0" applyFont="1" applyAlignment="1" applyProtection="1">
      <alignment horizontal="center" wrapText="1"/>
      <protection locked="0"/>
    </xf>
    <xf numFmtId="0" fontId="8" fillId="0" borderId="0" xfId="0" applyFont="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49" fontId="16" fillId="0" borderId="6" xfId="0" applyNumberFormat="1" applyFont="1" applyBorder="1" applyAlignment="1" applyProtection="1">
      <alignment horizontal="left" vertical="center"/>
      <protection locked="0"/>
    </xf>
    <xf numFmtId="0" fontId="16" fillId="0" borderId="6" xfId="0" applyFont="1" applyBorder="1" applyAlignment="1" applyProtection="1">
      <alignment horizontal="left" vertical="center" wrapText="1"/>
      <protection locked="0"/>
    </xf>
    <xf numFmtId="49" fontId="16" fillId="3" borderId="6" xfId="0" applyNumberFormat="1" applyFont="1" applyFill="1" applyBorder="1" applyAlignment="1" applyProtection="1">
      <alignment horizontal="left" vertical="center"/>
      <protection locked="0"/>
    </xf>
    <xf numFmtId="0" fontId="16" fillId="3" borderId="6" xfId="0" applyFont="1" applyFill="1" applyBorder="1" applyAlignment="1" applyProtection="1">
      <alignment horizontal="left" vertical="center"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11</xdr:row>
      <xdr:rowOff>19050</xdr:rowOff>
    </xdr:from>
    <xdr:to>
      <xdr:col>3</xdr:col>
      <xdr:colOff>447675</xdr:colOff>
      <xdr:row>12</xdr:row>
      <xdr:rowOff>371475</xdr:rowOff>
    </xdr:to>
    <xdr:pic>
      <xdr:nvPicPr>
        <xdr:cNvPr id="2" name="Picture" descr="Logo">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2</xdr:row>
      <xdr:rowOff>47625</xdr:rowOff>
    </xdr:from>
    <xdr:to>
      <xdr:col>2</xdr:col>
      <xdr:colOff>457200</xdr:colOff>
      <xdr:row>4</xdr:row>
      <xdr:rowOff>142875</xdr:rowOff>
    </xdr:to>
    <xdr:pic>
      <xdr:nvPicPr>
        <xdr:cNvPr id="2" name="Picture" descr="Logo">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3" name="Picture"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3</xdr:col>
      <xdr:colOff>48450</xdr:colOff>
      <xdr:row>5</xdr:row>
      <xdr:rowOff>-10000</xdr:rowOff>
    </xdr:to>
    <xdr:pic>
      <xdr:nvPicPr>
        <xdr:cNvPr id="4" name="Picture" descr="Logo">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6" name="Picture" descr="Logo">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19050</xdr:colOff>
      <xdr:row>2</xdr:row>
      <xdr:rowOff>76200</xdr:rowOff>
    </xdr:from>
    <xdr:to>
      <xdr:col>2</xdr:col>
      <xdr:colOff>429450</xdr:colOff>
      <xdr:row>5</xdr:row>
      <xdr:rowOff>-10000</xdr:rowOff>
    </xdr:to>
    <xdr:pic>
      <xdr:nvPicPr>
        <xdr:cNvPr id="5" name="Picture" descr="Logo">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stretch>
          <a:fillRect/>
        </a:stretch>
      </xdr:blipFill>
      <xdr:spPr bwMode="auto">
        <a:xfrm>
          <a:off x="2552700" y="7496175"/>
          <a:ext cx="923925" cy="8572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15"/>
  <sheetViews>
    <sheetView topLeftCell="B2" workbookViewId="0">
      <selection activeCell="C6" sqref="C6:D6"/>
    </sheetView>
  </sheetViews>
  <sheetFormatPr defaultColWidth="9.1328125" defaultRowHeight="13.5" x14ac:dyDescent="0.35"/>
  <cols>
    <col min="1" max="1" width="14" style="1" hidden="1" customWidth="1"/>
    <col min="2" max="2" width="8.86328125" style="1" customWidth="1"/>
    <col min="3" max="4" width="36.796875" style="1" customWidth="1"/>
    <col min="5" max="5" width="8.86328125" style="1" customWidth="1"/>
    <col min="6" max="6" width="3.3984375" style="1" customWidth="1"/>
    <col min="7" max="16384" width="9.1328125" style="1"/>
  </cols>
  <sheetData>
    <row r="1" spans="1:6" ht="25.5" hidden="1" customHeight="1" x14ac:dyDescent="0.35">
      <c r="A1" s="2"/>
      <c r="B1" s="2"/>
      <c r="C1" s="2"/>
      <c r="D1" s="2"/>
      <c r="E1" s="2"/>
      <c r="F1" s="2"/>
    </row>
    <row r="2" spans="1:6" ht="15.75" customHeight="1" x14ac:dyDescent="0.4">
      <c r="A2" s="2"/>
      <c r="B2" s="3"/>
      <c r="C2" s="2"/>
      <c r="D2" s="2"/>
      <c r="E2" s="2"/>
      <c r="F2" s="4"/>
    </row>
    <row r="3" spans="1:6" ht="21" customHeight="1" x14ac:dyDescent="0.4">
      <c r="A3" s="2"/>
      <c r="B3" s="2"/>
      <c r="C3" s="2"/>
      <c r="D3" s="2"/>
      <c r="E3" s="2"/>
      <c r="F3" s="4"/>
    </row>
    <row r="4" spans="1:6" ht="21" hidden="1" customHeight="1" x14ac:dyDescent="0.4">
      <c r="A4" s="2"/>
      <c r="B4" s="2"/>
      <c r="C4" s="2"/>
      <c r="D4" s="2"/>
      <c r="E4" s="2"/>
      <c r="F4" s="4"/>
    </row>
    <row r="5" spans="1:6" ht="63" customHeight="1" x14ac:dyDescent="0.4">
      <c r="A5" s="2"/>
      <c r="B5" s="66" t="s">
        <v>30</v>
      </c>
      <c r="C5" s="66"/>
      <c r="D5" s="66"/>
      <c r="E5" s="66"/>
      <c r="F5" s="4"/>
    </row>
    <row r="6" spans="1:6" ht="277.5" customHeight="1" x14ac:dyDescent="0.75">
      <c r="A6" s="2"/>
      <c r="B6" s="5"/>
      <c r="C6" s="67" t="s">
        <v>110</v>
      </c>
      <c r="D6" s="67"/>
      <c r="E6" s="5"/>
      <c r="F6" s="4"/>
    </row>
    <row r="7" spans="1:6" ht="39.75" customHeight="1" x14ac:dyDescent="0.4">
      <c r="A7" s="2"/>
      <c r="B7" s="6"/>
      <c r="C7" s="7"/>
      <c r="D7" s="7"/>
      <c r="E7" s="7"/>
      <c r="F7" s="4"/>
    </row>
    <row r="8" spans="1:6" ht="26.25" customHeight="1" x14ac:dyDescent="0.4">
      <c r="A8" s="2"/>
      <c r="B8" s="68" t="s">
        <v>31</v>
      </c>
      <c r="C8" s="68"/>
      <c r="D8" s="68"/>
      <c r="E8" s="68"/>
      <c r="F8" s="4"/>
    </row>
    <row r="9" spans="1:6" ht="30.75" customHeight="1" x14ac:dyDescent="0.5">
      <c r="A9" s="2"/>
      <c r="B9" s="68"/>
      <c r="C9" s="68"/>
      <c r="D9" s="68"/>
      <c r="E9" s="68"/>
      <c r="F9" s="8"/>
    </row>
    <row r="10" spans="1:6" ht="26.25" customHeight="1" x14ac:dyDescent="0.4">
      <c r="A10" s="2"/>
      <c r="B10" s="69" t="s">
        <v>32</v>
      </c>
      <c r="C10" s="69"/>
      <c r="D10" s="69"/>
      <c r="E10" s="69"/>
      <c r="F10" s="4"/>
    </row>
    <row r="11" spans="1:6" ht="21" customHeight="1" x14ac:dyDescent="0.5">
      <c r="A11" s="2"/>
      <c r="B11" s="69"/>
      <c r="C11" s="69"/>
      <c r="D11" s="69"/>
      <c r="E11" s="69"/>
      <c r="F11" s="8"/>
    </row>
    <row r="12" spans="1:6" ht="39.75" customHeight="1" x14ac:dyDescent="0.4">
      <c r="A12" s="2"/>
      <c r="B12" s="2"/>
      <c r="C12" s="9"/>
      <c r="D12" s="10"/>
      <c r="E12" s="2"/>
      <c r="F12" s="4"/>
    </row>
    <row r="13" spans="1:6" ht="39.75" customHeight="1" x14ac:dyDescent="0.4">
      <c r="A13" s="2"/>
      <c r="B13" s="2"/>
      <c r="C13" s="2"/>
      <c r="D13" s="2"/>
      <c r="E13" s="2"/>
      <c r="F13" s="4"/>
    </row>
    <row r="14" spans="1:6" ht="39.75" hidden="1" customHeight="1" x14ac:dyDescent="0.4">
      <c r="A14" s="2"/>
      <c r="B14" s="2"/>
      <c r="C14" s="11" t="s">
        <v>33</v>
      </c>
      <c r="D14" s="6"/>
      <c r="E14" s="2"/>
      <c r="F14" s="4"/>
    </row>
    <row r="15" spans="1:6" ht="27" customHeight="1" x14ac:dyDescent="0.4">
      <c r="A15" s="2"/>
      <c r="B15" s="2"/>
      <c r="C15" s="6" t="s">
        <v>34</v>
      </c>
      <c r="D15" s="12"/>
      <c r="E15" s="2"/>
      <c r="F15" s="4"/>
    </row>
  </sheetData>
  <mergeCells count="4">
    <mergeCell ref="B5:E5"/>
    <mergeCell ref="C6:D6"/>
    <mergeCell ref="B8:E9"/>
    <mergeCell ref="B10:E11"/>
  </mergeCells>
  <phoneticPr fontId="19" type="noConversion"/>
  <printOptions horizontalCentered="1"/>
  <pageMargins left="0.51181102362204722" right="0.51181102362204722" top="0.51181102362204722" bottom="0.47244094488188981" header="7.874015748031496E-2" footer="0.19685039370078741"/>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C24"/>
  <sheetViews>
    <sheetView topLeftCell="B2" workbookViewId="0"/>
  </sheetViews>
  <sheetFormatPr defaultColWidth="9.1328125" defaultRowHeight="13.5" x14ac:dyDescent="0.35"/>
  <cols>
    <col min="1" max="1" width="17.6640625" style="1" hidden="1" customWidth="1"/>
    <col min="2" max="2" width="2.265625" style="1" customWidth="1"/>
    <col min="3" max="3" width="108.06640625" style="1" customWidth="1"/>
    <col min="4" max="16384" width="9.1328125" style="1"/>
  </cols>
  <sheetData>
    <row r="1" spans="1:3" ht="41.25" hidden="1" customHeight="1" x14ac:dyDescent="0.4">
      <c r="A1" s="2"/>
      <c r="B1" s="2"/>
      <c r="C1" s="13"/>
    </row>
    <row r="2" spans="1:3" ht="12" customHeight="1" x14ac:dyDescent="0.35">
      <c r="A2" s="2"/>
      <c r="B2" s="14"/>
      <c r="C2" s="15"/>
    </row>
    <row r="3" spans="1:3" ht="12" customHeight="1" x14ac:dyDescent="0.35">
      <c r="A3" s="2"/>
      <c r="B3" s="15"/>
      <c r="C3" s="15"/>
    </row>
    <row r="4" spans="1:3" ht="12" customHeight="1" x14ac:dyDescent="0.35">
      <c r="A4" s="2"/>
      <c r="B4" s="16"/>
      <c r="C4" s="17"/>
    </row>
    <row r="5" spans="1:3" ht="15.75" customHeight="1" x14ac:dyDescent="0.35">
      <c r="A5" s="2"/>
      <c r="B5" s="2"/>
      <c r="C5" s="18"/>
    </row>
    <row r="6" spans="1:3" ht="18" customHeight="1" x14ac:dyDescent="0.35">
      <c r="A6" s="2"/>
      <c r="B6" s="2"/>
      <c r="C6" s="19" t="s">
        <v>35</v>
      </c>
    </row>
    <row r="7" spans="1:3" ht="15.75" customHeight="1" x14ac:dyDescent="0.35">
      <c r="A7" s="2"/>
      <c r="B7" s="2"/>
      <c r="C7" s="20"/>
    </row>
    <row r="8" spans="1:3" ht="96" customHeight="1" x14ac:dyDescent="0.35">
      <c r="A8" s="2"/>
      <c r="B8" s="2"/>
      <c r="C8" s="20" t="str">
        <f>"1-本报价有效期截止到 "&amp;QF_SYS_VALIDITY_DATE&amp;"。 "&amp;QF_SYS_VALIDDATE_SERVERPRODUCT&amp;"
2-所报价格仅限本报价单中的特定编码（包括硬件、软件、服务等），不包括可选清单表中的部件。
3-所报蓄电池价格仅适用于本合同。"</f>
        <v>1-本报价有效期截止到 2026-05-06。 
2-所报价格仅限本报价单中的特定编码（包括硬件、软件、服务等），不包括可选清单表中的部件。
3-所报蓄电池价格仅适用于本合同。</v>
      </c>
    </row>
    <row r="9" spans="1:3" ht="16.5" customHeight="1" x14ac:dyDescent="0.35">
      <c r="A9" s="2"/>
      <c r="B9" s="2"/>
      <c r="C9" s="21"/>
    </row>
    <row r="10" spans="1:3" ht="50.25" customHeight="1" x14ac:dyDescent="0.35">
      <c r="A10" s="2"/>
      <c r="B10" s="2"/>
      <c r="C10" s="21" t="s">
        <v>36</v>
      </c>
    </row>
    <row r="11" spans="1:3" ht="16.5" customHeight="1" x14ac:dyDescent="0.35">
      <c r="A11" s="2"/>
      <c r="B11" s="2"/>
      <c r="C11" s="21"/>
    </row>
    <row r="12" spans="1:3" ht="40.5" customHeight="1" x14ac:dyDescent="0.35">
      <c r="A12" s="2"/>
      <c r="B12" s="2"/>
      <c r="C12" s="21" t="s">
        <v>37</v>
      </c>
    </row>
    <row r="13" spans="1:3" ht="16.5" customHeight="1" x14ac:dyDescent="0.35">
      <c r="A13" s="2"/>
      <c r="B13" s="2"/>
      <c r="C13" s="21"/>
    </row>
    <row r="14" spans="1:3" ht="16.5" customHeight="1" x14ac:dyDescent="0.35">
      <c r="A14" s="2"/>
      <c r="B14" s="2"/>
      <c r="C14" s="21" t="s">
        <v>38</v>
      </c>
    </row>
    <row r="15" spans="1:3" ht="16.5" customHeight="1" x14ac:dyDescent="0.35">
      <c r="A15" s="2"/>
      <c r="B15" s="2"/>
      <c r="C15" s="21"/>
    </row>
    <row r="16" spans="1:3" ht="54" customHeight="1" x14ac:dyDescent="0.35">
      <c r="A16" s="2"/>
      <c r="B16" s="2"/>
      <c r="C16" s="21" t="s">
        <v>39</v>
      </c>
    </row>
    <row r="17" spans="1:3" ht="16.5" customHeight="1" x14ac:dyDescent="0.35">
      <c r="A17" s="2"/>
      <c r="B17" s="2"/>
      <c r="C17" s="21"/>
    </row>
    <row r="18" spans="1:3" ht="103.5" customHeight="1" x14ac:dyDescent="0.35">
      <c r="A18" s="2"/>
      <c r="B18" s="2"/>
      <c r="C18" s="21" t="s">
        <v>40</v>
      </c>
    </row>
    <row r="19" spans="1:3" ht="16.5" customHeight="1" x14ac:dyDescent="0.35">
      <c r="A19" s="2"/>
      <c r="B19" s="2"/>
      <c r="C19" s="21"/>
    </row>
    <row r="20" spans="1:3" ht="54" customHeight="1" x14ac:dyDescent="0.35">
      <c r="A20" s="2"/>
      <c r="B20" s="2"/>
      <c r="C20" s="22" t="str">
        <f>HYPERLINK("https://support.huawei.com/enterprise/zh/warranty-policy","产品生命周期：华为的产品生命周期受“产品生命周期政策”约束，采购商/渠道商/客户可在华为官网URL地址https://support.huawei.com/enterprise/zh/warranty-policy 中找到“产品生命周期政策”。")</f>
        <v>产品生命周期：华为的产品生命周期受“产品生命周期政策”约束，采购商/渠道商/客户可在华为官网URL地址https://support.huawei.com/enterprise/zh/warranty-policy 中找到“产品生命周期政策”。</v>
      </c>
    </row>
    <row r="21" spans="1:3" ht="16.5" customHeight="1" x14ac:dyDescent="0.35">
      <c r="A21" s="2"/>
      <c r="B21" s="2"/>
      <c r="C21" s="21"/>
    </row>
    <row r="22" spans="1:3" ht="67.5" customHeight="1" x14ac:dyDescent="0.35">
      <c r="A22" s="2"/>
      <c r="B22" s="2"/>
      <c r="C22" s="21" t="s">
        <v>41</v>
      </c>
    </row>
    <row r="23" spans="1:3" ht="16.5" customHeight="1" x14ac:dyDescent="0.35">
      <c r="A23" s="2"/>
      <c r="B23" s="2"/>
      <c r="C23" s="2"/>
    </row>
    <row r="24" spans="1:3" ht="54" customHeight="1" x14ac:dyDescent="0.35">
      <c r="A24" s="2"/>
      <c r="B24" s="2"/>
      <c r="C24" s="22" t="str">
        <f>HYPERLINK("https://support.huawei.com/enterprise/zh/bulletins-service/ENEWS2000015766","数字证书技术作为通信加密的身份认证手段被广泛应，关于华为设备初始证书权责说明，详见https://support.huawei.com/enterprise/zh/bulletins-service/ENEWS2000015766")</f>
        <v>数字证书技术作为通信加密的身份认证手段被广泛应，关于华为设备初始证书权责说明，详见https://support.huawei.com/enterprise/zh/bulletins-service/ENEWS2000015766</v>
      </c>
    </row>
  </sheetData>
  <phoneticPr fontId="19" type="noConversion"/>
  <printOptions horizontalCentered="1"/>
  <pageMargins left="0.51181102362204722" right="0.51181102362204722" top="0.51181102362204722" bottom="0.47244094488188981" header="7.874015748031496E-2" footer="0.1968503937007874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F23"/>
  <sheetViews>
    <sheetView tabSelected="1" workbookViewId="0">
      <selection activeCell="D10" sqref="D10"/>
    </sheetView>
  </sheetViews>
  <sheetFormatPr defaultColWidth="9.1328125" defaultRowHeight="13.5" x14ac:dyDescent="0.35"/>
  <cols>
    <col min="1" max="1" width="4.86328125" style="1" customWidth="1"/>
    <col min="2" max="3" width="10" style="1" customWidth="1"/>
    <col min="4" max="4" width="60.1328125" style="1" customWidth="1"/>
    <col min="5" max="6" width="10.265625" style="1" customWidth="1"/>
    <col min="7" max="16384" width="9.1328125" style="1"/>
  </cols>
  <sheetData>
    <row r="1" spans="1:6" ht="14.25" customHeight="1" x14ac:dyDescent="0.35">
      <c r="A1" s="2"/>
      <c r="B1" s="2"/>
      <c r="C1" s="2"/>
      <c r="D1" s="2"/>
      <c r="E1" s="2"/>
      <c r="F1" s="2"/>
    </row>
    <row r="2" spans="1:6" ht="12" customHeight="1" x14ac:dyDescent="0.35">
      <c r="A2" s="2"/>
      <c r="B2" s="23"/>
      <c r="C2" s="23"/>
      <c r="D2" s="23"/>
      <c r="E2" s="23"/>
      <c r="F2" s="23"/>
    </row>
    <row r="3" spans="1:6" ht="12" customHeight="1" x14ac:dyDescent="0.35">
      <c r="A3" s="2"/>
      <c r="B3" s="23"/>
      <c r="C3" s="24"/>
      <c r="D3" s="24"/>
      <c r="E3" s="23"/>
      <c r="F3" s="23"/>
    </row>
    <row r="4" spans="1:6" ht="12" customHeight="1" x14ac:dyDescent="0.35">
      <c r="A4" s="2"/>
      <c r="B4" s="23"/>
      <c r="C4" s="25"/>
      <c r="D4" s="25"/>
      <c r="E4" s="23"/>
      <c r="F4" s="23"/>
    </row>
    <row r="5" spans="1:6" ht="12" customHeight="1" x14ac:dyDescent="0.35">
      <c r="A5" s="2"/>
      <c r="B5" s="26"/>
      <c r="C5" s="26"/>
      <c r="D5" s="26"/>
      <c r="E5" s="26"/>
      <c r="F5" s="26"/>
    </row>
    <row r="6" spans="1:6" ht="12" customHeight="1" x14ac:dyDescent="0.35">
      <c r="A6" s="2"/>
      <c r="B6" s="23"/>
      <c r="C6" s="27"/>
      <c r="D6" s="28"/>
      <c r="E6" s="23"/>
      <c r="F6" s="23"/>
    </row>
    <row r="7" spans="1:6" ht="12" customHeight="1" x14ac:dyDescent="0.35">
      <c r="A7" s="2"/>
      <c r="B7" s="23"/>
      <c r="C7" s="29"/>
      <c r="D7" s="29"/>
      <c r="E7" s="23"/>
      <c r="F7" s="23"/>
    </row>
    <row r="8" spans="1:6" ht="14.25" customHeight="1" x14ac:dyDescent="0.35">
      <c r="A8" s="2"/>
      <c r="B8" s="23"/>
      <c r="C8" s="30" t="s">
        <v>42</v>
      </c>
      <c r="D8" s="31"/>
      <c r="E8" s="23"/>
      <c r="F8" s="23"/>
    </row>
    <row r="9" spans="1:6" ht="24" customHeight="1" x14ac:dyDescent="0.35">
      <c r="A9" s="2"/>
      <c r="B9" s="23"/>
      <c r="C9" s="32" t="s">
        <v>43</v>
      </c>
      <c r="D9" s="32" t="s">
        <v>16</v>
      </c>
      <c r="E9" s="23"/>
      <c r="F9" s="23"/>
    </row>
    <row r="10" spans="1:6" ht="18" customHeight="1" x14ac:dyDescent="0.35">
      <c r="A10" s="2"/>
      <c r="B10" s="23"/>
      <c r="C10" s="33" t="s">
        <v>44</v>
      </c>
      <c r="D10" s="34" t="s">
        <v>111</v>
      </c>
      <c r="E10" s="23"/>
      <c r="F10" s="23"/>
    </row>
    <row r="11" spans="1:6" ht="18" customHeight="1" x14ac:dyDescent="0.35">
      <c r="A11" s="2"/>
      <c r="B11" s="23"/>
      <c r="C11" s="33" t="s">
        <v>45</v>
      </c>
      <c r="D11" s="34" t="s">
        <v>31</v>
      </c>
      <c r="E11" s="23"/>
      <c r="F11" s="23"/>
    </row>
    <row r="12" spans="1:6" ht="18" hidden="1" customHeight="1" x14ac:dyDescent="0.35">
      <c r="A12" s="2"/>
      <c r="B12" s="23"/>
      <c r="C12" s="33" t="s">
        <v>46</v>
      </c>
      <c r="D12" s="34"/>
      <c r="E12" s="23"/>
      <c r="F12" s="23"/>
    </row>
    <row r="13" spans="1:6" ht="18" hidden="1" customHeight="1" x14ac:dyDescent="0.35">
      <c r="A13" s="2"/>
      <c r="B13" s="23"/>
      <c r="C13" s="33" t="s">
        <v>47</v>
      </c>
      <c r="D13" s="34"/>
      <c r="E13" s="23"/>
      <c r="F13" s="23"/>
    </row>
    <row r="14" spans="1:6" ht="18" hidden="1" customHeight="1" x14ac:dyDescent="0.35">
      <c r="A14" s="2"/>
      <c r="B14" s="23"/>
      <c r="C14" s="33" t="s">
        <v>48</v>
      </c>
      <c r="D14" s="34"/>
      <c r="E14" s="23"/>
      <c r="F14" s="23"/>
    </row>
    <row r="15" spans="1:6" ht="18" hidden="1" customHeight="1" x14ac:dyDescent="0.35">
      <c r="A15" s="2"/>
      <c r="B15" s="23"/>
      <c r="C15" s="33" t="s">
        <v>49</v>
      </c>
      <c r="D15" s="34"/>
      <c r="E15" s="23"/>
      <c r="F15" s="23"/>
    </row>
    <row r="16" spans="1:6" ht="18" customHeight="1" x14ac:dyDescent="0.35">
      <c r="A16" s="2"/>
      <c r="B16" s="23"/>
      <c r="C16" s="33" t="s">
        <v>50</v>
      </c>
      <c r="D16" s="34" t="s">
        <v>32</v>
      </c>
      <c r="E16" s="23"/>
      <c r="F16" s="23"/>
    </row>
    <row r="17" spans="1:6" ht="18" hidden="1" customHeight="1" x14ac:dyDescent="0.35">
      <c r="A17" s="2"/>
      <c r="B17" s="23"/>
      <c r="C17" s="33" t="s">
        <v>51</v>
      </c>
      <c r="D17" s="34"/>
      <c r="E17" s="23"/>
      <c r="F17" s="23"/>
    </row>
    <row r="18" spans="1:6" ht="18" hidden="1" customHeight="1" x14ac:dyDescent="0.35">
      <c r="A18" s="2"/>
      <c r="B18" s="23"/>
      <c r="C18" s="33" t="s">
        <v>52</v>
      </c>
      <c r="D18" s="34"/>
      <c r="E18" s="23"/>
      <c r="F18" s="23"/>
    </row>
    <row r="19" spans="1:6" ht="18" hidden="1" customHeight="1" x14ac:dyDescent="0.35">
      <c r="A19" s="2"/>
      <c r="B19" s="23"/>
      <c r="C19" s="33" t="s">
        <v>53</v>
      </c>
      <c r="D19" s="34"/>
      <c r="E19" s="23"/>
      <c r="F19" s="23"/>
    </row>
    <row r="20" spans="1:6" ht="12" customHeight="1" x14ac:dyDescent="0.35">
      <c r="A20" s="2"/>
      <c r="B20" s="23"/>
      <c r="C20" s="23"/>
      <c r="D20" s="23"/>
      <c r="E20" s="23"/>
      <c r="F20" s="23"/>
    </row>
    <row r="21" spans="1:6" ht="12" customHeight="1" x14ac:dyDescent="0.35">
      <c r="A21" s="2"/>
      <c r="B21" s="23"/>
      <c r="C21" s="23"/>
      <c r="D21" s="23"/>
      <c r="E21" s="23"/>
      <c r="F21" s="23"/>
    </row>
    <row r="22" spans="1:6" ht="12" customHeight="1" x14ac:dyDescent="0.35">
      <c r="A22" s="2"/>
      <c r="B22" s="23"/>
      <c r="C22" s="23"/>
      <c r="D22" s="23"/>
      <c r="E22" s="23"/>
      <c r="F22" s="23"/>
    </row>
    <row r="23" spans="1:6" ht="12.75" x14ac:dyDescent="0.35"/>
  </sheetData>
  <phoneticPr fontId="19" type="noConversion"/>
  <printOptions horizontalCentered="1"/>
  <pageMargins left="0.51181102362204722" right="0.51181102362204722" top="0.51181102362204722" bottom="0.47244094488188981" header="7.874015748031496E-2" footer="0.19685039370078741"/>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E12"/>
  <sheetViews>
    <sheetView topLeftCell="B2" workbookViewId="0"/>
  </sheetViews>
  <sheetFormatPr defaultColWidth="9.1328125" defaultRowHeight="13.5" outlineLevelRow="1" x14ac:dyDescent="0.35"/>
  <cols>
    <col min="1" max="1" width="2" style="1" hidden="1" customWidth="1"/>
    <col min="2" max="2" width="2" style="1" customWidth="1"/>
    <col min="3" max="3" width="5.73046875" style="1" customWidth="1"/>
    <col min="4" max="4" width="27.9296875" style="1" customWidth="1"/>
    <col min="5" max="5" width="5.6640625" style="1" customWidth="1"/>
    <col min="6" max="16384" width="9.1328125" style="1"/>
  </cols>
  <sheetData>
    <row r="1" spans="1:5" ht="12.75" hidden="1" customHeight="1" x14ac:dyDescent="0.35">
      <c r="C1" t="s">
        <v>54</v>
      </c>
      <c r="D1" t="s">
        <v>55</v>
      </c>
      <c r="E1" t="s">
        <v>56</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3"/>
      <c r="D6" s="43"/>
      <c r="E6" s="43"/>
    </row>
    <row r="7" spans="1:5" ht="12.75" customHeight="1" x14ac:dyDescent="0.35"/>
    <row r="8" spans="1:5" ht="12.75" customHeight="1" x14ac:dyDescent="0.35"/>
    <row r="9" spans="1:5" ht="24" customHeight="1" x14ac:dyDescent="0.35">
      <c r="C9" s="35" t="s">
        <v>0</v>
      </c>
      <c r="D9" s="35" t="s">
        <v>1</v>
      </c>
      <c r="E9" s="35" t="s">
        <v>2</v>
      </c>
    </row>
    <row r="10" spans="1:5" ht="12.75" x14ac:dyDescent="0.35">
      <c r="A10" t="s">
        <v>57</v>
      </c>
      <c r="C10" s="36" t="s">
        <v>58</v>
      </c>
      <c r="D10" s="37" t="s">
        <v>3</v>
      </c>
      <c r="E10" s="39"/>
    </row>
    <row r="11" spans="1:5" ht="12.75" outlineLevel="1" x14ac:dyDescent="0.35">
      <c r="A11" t="s">
        <v>59</v>
      </c>
      <c r="C11" s="40"/>
      <c r="D11" s="41" t="s">
        <v>4</v>
      </c>
      <c r="E11" s="42">
        <v>1</v>
      </c>
    </row>
    <row r="12" spans="1:5" ht="12.75" x14ac:dyDescent="0.35"/>
  </sheetData>
  <phoneticPr fontId="19" type="noConversion"/>
  <pageMargins left="0.51181102362204722" right="0.51181102362204722" top="0.51181102362204722" bottom="0.47244094488188981" header="7.874015748031496E-2" footer="0.19685039370078741"/>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E42"/>
  <sheetViews>
    <sheetView topLeftCell="B2" workbookViewId="0"/>
  </sheetViews>
  <sheetFormatPr defaultColWidth="9.1328125" defaultRowHeight="13.5" outlineLevelRow="1" x14ac:dyDescent="0.35"/>
  <cols>
    <col min="1" max="1" width="2" style="1" hidden="1" customWidth="1"/>
    <col min="2" max="2" width="2" style="1" customWidth="1"/>
    <col min="3" max="3" width="12.265625" style="1" customWidth="1"/>
    <col min="4" max="4" width="51.33203125" style="1" customWidth="1"/>
    <col min="5" max="5" width="17.1328125" style="1" customWidth="1"/>
    <col min="6" max="16384" width="9.1328125" style="1"/>
  </cols>
  <sheetData>
    <row r="1" spans="1:5" ht="12.75" hidden="1" customHeight="1" x14ac:dyDescent="0.35">
      <c r="C1" t="s">
        <v>54</v>
      </c>
      <c r="D1" t="s">
        <v>60</v>
      </c>
      <c r="E1" t="s">
        <v>61</v>
      </c>
    </row>
    <row r="2" spans="1:5" ht="12.75" customHeight="1" x14ac:dyDescent="0.35"/>
    <row r="3" spans="1:5" ht="12.75" customHeight="1" x14ac:dyDescent="0.35"/>
    <row r="4" spans="1:5" ht="12.75" customHeight="1" x14ac:dyDescent="0.35"/>
    <row r="5" spans="1:5" ht="12.75" customHeight="1" x14ac:dyDescent="0.35"/>
    <row r="6" spans="1:5" ht="12.75" customHeight="1" x14ac:dyDescent="0.35">
      <c r="C6" s="43"/>
      <c r="D6" s="43"/>
      <c r="E6" s="43"/>
    </row>
    <row r="7" spans="1:5" ht="12.75" customHeight="1" x14ac:dyDescent="0.35"/>
    <row r="8" spans="1:5" ht="12.75" customHeight="1" x14ac:dyDescent="0.35"/>
    <row r="9" spans="1:5" ht="26.25" customHeight="1" x14ac:dyDescent="0.35">
      <c r="C9" s="35" t="s">
        <v>0</v>
      </c>
      <c r="D9" s="35" t="s">
        <v>15</v>
      </c>
      <c r="E9" s="35" t="s">
        <v>16</v>
      </c>
    </row>
    <row r="10" spans="1:5" ht="12.75" x14ac:dyDescent="0.35">
      <c r="A10" t="s">
        <v>62</v>
      </c>
      <c r="C10" s="57" t="s">
        <v>58</v>
      </c>
      <c r="D10" s="46" t="s">
        <v>17</v>
      </c>
      <c r="E10" s="61"/>
    </row>
    <row r="11" spans="1:5" ht="12.75" outlineLevel="1" x14ac:dyDescent="0.35">
      <c r="A11" t="s">
        <v>63</v>
      </c>
      <c r="C11" s="58"/>
      <c r="D11" s="38" t="s">
        <v>18</v>
      </c>
      <c r="E11" s="62" t="s">
        <v>26</v>
      </c>
    </row>
    <row r="12" spans="1:5" ht="12.75" outlineLevel="1" x14ac:dyDescent="0.35">
      <c r="A12" t="s">
        <v>64</v>
      </c>
      <c r="C12" s="58"/>
      <c r="D12" s="38" t="s">
        <v>19</v>
      </c>
      <c r="E12" s="62" t="s">
        <v>27</v>
      </c>
    </row>
    <row r="13" spans="1:5" ht="12.75" outlineLevel="1" x14ac:dyDescent="0.35">
      <c r="A13" t="s">
        <v>65</v>
      </c>
      <c r="C13" s="58"/>
      <c r="D13" s="38" t="s">
        <v>20</v>
      </c>
      <c r="E13" s="62" t="s">
        <v>28</v>
      </c>
    </row>
    <row r="14" spans="1:5" ht="12.75" outlineLevel="1" x14ac:dyDescent="0.35">
      <c r="A14" t="s">
        <v>66</v>
      </c>
      <c r="C14" s="59"/>
      <c r="D14" s="60" t="s">
        <v>67</v>
      </c>
      <c r="E14" s="63"/>
    </row>
    <row r="15" spans="1:5" ht="12.75" outlineLevel="1" x14ac:dyDescent="0.35">
      <c r="A15" t="s">
        <v>68</v>
      </c>
      <c r="C15" s="58"/>
      <c r="D15" s="38" t="s">
        <v>21</v>
      </c>
      <c r="E15" s="62" t="s">
        <v>29</v>
      </c>
    </row>
    <row r="16" spans="1:5" ht="12.75" outlineLevel="1" x14ac:dyDescent="0.35">
      <c r="A16" t="s">
        <v>69</v>
      </c>
      <c r="C16" s="58"/>
      <c r="D16" s="38" t="s">
        <v>22</v>
      </c>
      <c r="E16" s="62" t="s">
        <v>29</v>
      </c>
    </row>
    <row r="17" spans="1:5" ht="12.75" outlineLevel="1" x14ac:dyDescent="0.35">
      <c r="A17" t="s">
        <v>70</v>
      </c>
      <c r="C17" s="58"/>
      <c r="D17" s="38" t="s">
        <v>23</v>
      </c>
      <c r="E17" s="62" t="s">
        <v>29</v>
      </c>
    </row>
    <row r="18" spans="1:5" ht="12.75" outlineLevel="1" x14ac:dyDescent="0.35">
      <c r="A18" t="s">
        <v>71</v>
      </c>
      <c r="C18" s="59"/>
      <c r="D18" s="60" t="s">
        <v>72</v>
      </c>
      <c r="E18" s="63"/>
    </row>
    <row r="19" spans="1:5" ht="12.75" outlineLevel="1" x14ac:dyDescent="0.35">
      <c r="A19" t="s">
        <v>73</v>
      </c>
      <c r="C19" s="58"/>
      <c r="D19" s="38" t="s">
        <v>21</v>
      </c>
      <c r="E19" s="62" t="s">
        <v>29</v>
      </c>
    </row>
    <row r="20" spans="1:5" ht="12.75" outlineLevel="1" x14ac:dyDescent="0.35">
      <c r="A20" t="s">
        <v>74</v>
      </c>
      <c r="C20" s="58"/>
      <c r="D20" s="38" t="s">
        <v>22</v>
      </c>
      <c r="E20" s="62" t="s">
        <v>29</v>
      </c>
    </row>
    <row r="21" spans="1:5" ht="12.75" outlineLevel="1" x14ac:dyDescent="0.35">
      <c r="A21" t="s">
        <v>75</v>
      </c>
      <c r="C21" s="58"/>
      <c r="D21" s="38" t="s">
        <v>23</v>
      </c>
      <c r="E21" s="62" t="s">
        <v>29</v>
      </c>
    </row>
    <row r="22" spans="1:5" ht="12.75" outlineLevel="1" x14ac:dyDescent="0.35">
      <c r="A22" t="s">
        <v>76</v>
      </c>
      <c r="C22" s="59"/>
      <c r="D22" s="60" t="s">
        <v>77</v>
      </c>
      <c r="E22" s="63"/>
    </row>
    <row r="23" spans="1:5" ht="12.75" outlineLevel="1" x14ac:dyDescent="0.35">
      <c r="A23" t="s">
        <v>78</v>
      </c>
      <c r="C23" s="58"/>
      <c r="D23" s="38" t="s">
        <v>21</v>
      </c>
      <c r="E23" s="62" t="s">
        <v>29</v>
      </c>
    </row>
    <row r="24" spans="1:5" ht="12.75" outlineLevel="1" x14ac:dyDescent="0.35">
      <c r="A24" t="s">
        <v>79</v>
      </c>
      <c r="C24" s="58"/>
      <c r="D24" s="38" t="s">
        <v>22</v>
      </c>
      <c r="E24" s="62" t="s">
        <v>29</v>
      </c>
    </row>
    <row r="25" spans="1:5" ht="12.75" outlineLevel="1" x14ac:dyDescent="0.35">
      <c r="A25" t="s">
        <v>80</v>
      </c>
      <c r="C25" s="58"/>
      <c r="D25" s="38" t="s">
        <v>23</v>
      </c>
      <c r="E25" s="62" t="s">
        <v>29</v>
      </c>
    </row>
    <row r="26" spans="1:5" ht="12.75" outlineLevel="1" x14ac:dyDescent="0.35">
      <c r="A26" t="s">
        <v>81</v>
      </c>
      <c r="C26" s="59"/>
      <c r="D26" s="60" t="s">
        <v>82</v>
      </c>
      <c r="E26" s="63"/>
    </row>
    <row r="27" spans="1:5" ht="12.75" outlineLevel="1" x14ac:dyDescent="0.35">
      <c r="A27" t="s">
        <v>83</v>
      </c>
      <c r="C27" s="58"/>
      <c r="D27" s="38" t="s">
        <v>21</v>
      </c>
      <c r="E27" s="62" t="s">
        <v>29</v>
      </c>
    </row>
    <row r="28" spans="1:5" ht="12.75" outlineLevel="1" x14ac:dyDescent="0.35">
      <c r="A28" t="s">
        <v>84</v>
      </c>
      <c r="C28" s="58"/>
      <c r="D28" s="38" t="s">
        <v>22</v>
      </c>
      <c r="E28" s="62" t="s">
        <v>29</v>
      </c>
    </row>
    <row r="29" spans="1:5" ht="12.75" outlineLevel="1" x14ac:dyDescent="0.35">
      <c r="A29" t="s">
        <v>85</v>
      </c>
      <c r="C29" s="58"/>
      <c r="D29" s="38" t="s">
        <v>23</v>
      </c>
      <c r="E29" s="62" t="s">
        <v>29</v>
      </c>
    </row>
    <row r="30" spans="1:5" ht="12.75" outlineLevel="1" x14ac:dyDescent="0.35">
      <c r="A30" t="s">
        <v>86</v>
      </c>
      <c r="C30" s="59"/>
      <c r="D30" s="60" t="s">
        <v>87</v>
      </c>
      <c r="E30" s="63"/>
    </row>
    <row r="31" spans="1:5" ht="12.75" outlineLevel="1" x14ac:dyDescent="0.35">
      <c r="A31" t="s">
        <v>88</v>
      </c>
      <c r="C31" s="58"/>
      <c r="D31" s="38" t="s">
        <v>21</v>
      </c>
      <c r="E31" s="62" t="s">
        <v>29</v>
      </c>
    </row>
    <row r="32" spans="1:5" ht="12.75" outlineLevel="1" x14ac:dyDescent="0.35">
      <c r="A32" t="s">
        <v>89</v>
      </c>
      <c r="C32" s="58"/>
      <c r="D32" s="38" t="s">
        <v>22</v>
      </c>
      <c r="E32" s="62" t="s">
        <v>29</v>
      </c>
    </row>
    <row r="33" spans="1:5" ht="12.75" outlineLevel="1" x14ac:dyDescent="0.35">
      <c r="A33" t="s">
        <v>90</v>
      </c>
      <c r="C33" s="58"/>
      <c r="D33" s="38" t="s">
        <v>23</v>
      </c>
      <c r="E33" s="62" t="s">
        <v>29</v>
      </c>
    </row>
    <row r="34" spans="1:5" ht="12.75" outlineLevel="1" x14ac:dyDescent="0.35">
      <c r="A34" t="s">
        <v>91</v>
      </c>
      <c r="C34" s="59"/>
      <c r="D34" s="60" t="s">
        <v>92</v>
      </c>
      <c r="E34" s="63"/>
    </row>
    <row r="35" spans="1:5" ht="12.75" outlineLevel="1" x14ac:dyDescent="0.35">
      <c r="A35" t="s">
        <v>93</v>
      </c>
      <c r="C35" s="58"/>
      <c r="D35" s="38" t="s">
        <v>21</v>
      </c>
      <c r="E35" s="62" t="s">
        <v>29</v>
      </c>
    </row>
    <row r="36" spans="1:5" ht="12.75" outlineLevel="1" x14ac:dyDescent="0.35">
      <c r="A36" t="s">
        <v>94</v>
      </c>
      <c r="C36" s="58"/>
      <c r="D36" s="38" t="s">
        <v>22</v>
      </c>
      <c r="E36" s="62" t="s">
        <v>29</v>
      </c>
    </row>
    <row r="37" spans="1:5" ht="12.75" outlineLevel="1" x14ac:dyDescent="0.35">
      <c r="A37" t="s">
        <v>95</v>
      </c>
      <c r="C37" s="58"/>
      <c r="D37" s="38" t="s">
        <v>23</v>
      </c>
      <c r="E37" s="62" t="s">
        <v>29</v>
      </c>
    </row>
    <row r="38" spans="1:5" ht="23.25" outlineLevel="1" x14ac:dyDescent="0.35">
      <c r="A38" t="s">
        <v>96</v>
      </c>
      <c r="C38" s="59"/>
      <c r="D38" s="60" t="s">
        <v>97</v>
      </c>
      <c r="E38" s="63"/>
    </row>
    <row r="39" spans="1:5" ht="12.75" outlineLevel="1" x14ac:dyDescent="0.35">
      <c r="A39" t="s">
        <v>98</v>
      </c>
      <c r="C39" s="58"/>
      <c r="D39" s="38" t="s">
        <v>21</v>
      </c>
      <c r="E39" s="62" t="s">
        <v>29</v>
      </c>
    </row>
    <row r="40" spans="1:5" ht="12.75" outlineLevel="1" x14ac:dyDescent="0.35">
      <c r="A40" t="s">
        <v>99</v>
      </c>
      <c r="C40" s="58"/>
      <c r="D40" s="38" t="s">
        <v>24</v>
      </c>
      <c r="E40" s="62" t="s">
        <v>29</v>
      </c>
    </row>
    <row r="41" spans="1:5" ht="12.75" outlineLevel="1" x14ac:dyDescent="0.35">
      <c r="A41" t="s">
        <v>100</v>
      </c>
      <c r="C41" s="64"/>
      <c r="D41" s="41" t="s">
        <v>25</v>
      </c>
      <c r="E41" s="65" t="s">
        <v>29</v>
      </c>
    </row>
    <row r="42" spans="1:5" ht="12.75" x14ac:dyDescent="0.35"/>
  </sheetData>
  <phoneticPr fontId="19" type="noConversion"/>
  <pageMargins left="0.51181102362204722" right="0.51181102362204722" top="0.51181102362204722" bottom="0.47244094488188981" header="7.874015748031496E-2" footer="0.19685039370078741"/>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C1:D1"/>
  <sheetViews>
    <sheetView workbookViewId="0"/>
  </sheetViews>
  <sheetFormatPr defaultRowHeight="13.5" x14ac:dyDescent="0.35"/>
  <sheetData>
    <row r="1" spans="3:4" ht="12.75" x14ac:dyDescent="0.35">
      <c r="C1" t="s">
        <v>5</v>
      </c>
      <c r="D1" t="s">
        <v>6</v>
      </c>
    </row>
  </sheetData>
  <phoneticPr fontId="19" type="noConversion"/>
  <pageMargins left="0.51181102362204722" right="0.51181102362204722" top="0.51181102362204722" bottom="0.47244094488188981" header="7.874015748031496E-2" footer="0.1968503937007874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3"/>
  <sheetViews>
    <sheetView topLeftCell="B2" workbookViewId="0"/>
  </sheetViews>
  <sheetFormatPr defaultColWidth="9.1328125" defaultRowHeight="13.5" outlineLevelRow="1" x14ac:dyDescent="0.35"/>
  <cols>
    <col min="1" max="1" width="2" style="1" hidden="1" customWidth="1"/>
    <col min="2" max="2" width="2" style="1" customWidth="1"/>
    <col min="3" max="3" width="7.6640625" style="1" customWidth="1"/>
    <col min="4" max="4" width="13.6640625" style="1" customWidth="1"/>
    <col min="5" max="5" width="13.3984375" style="1" customWidth="1"/>
    <col min="6" max="6" width="33.9296875" style="1" customWidth="1"/>
    <col min="7" max="7" width="6.265625" style="1" customWidth="1"/>
    <col min="8" max="8" width="14.265625" style="1" customWidth="1"/>
    <col min="9" max="9" width="14.53125" style="1" customWidth="1"/>
    <col min="10" max="16384" width="9.1328125" style="1"/>
  </cols>
  <sheetData>
    <row r="1" spans="1:9" ht="12.75" hidden="1" customHeight="1" x14ac:dyDescent="0.35">
      <c r="C1" t="s">
        <v>54</v>
      </c>
      <c r="D1" t="s">
        <v>101</v>
      </c>
      <c r="E1" t="s">
        <v>102</v>
      </c>
      <c r="F1" t="s">
        <v>55</v>
      </c>
      <c r="G1" t="s">
        <v>103</v>
      </c>
      <c r="H1" t="s">
        <v>104</v>
      </c>
      <c r="I1" t="s">
        <v>105</v>
      </c>
    </row>
    <row r="2" spans="1:9" ht="12.75" customHeight="1" x14ac:dyDescent="0.35"/>
    <row r="3" spans="1:9" ht="12.75" customHeight="1" x14ac:dyDescent="0.35"/>
    <row r="4" spans="1:9" ht="12.75" customHeight="1" x14ac:dyDescent="0.35"/>
    <row r="5" spans="1:9" ht="12.75" customHeight="1" x14ac:dyDescent="0.35"/>
    <row r="6" spans="1:9" ht="12.75" customHeight="1" x14ac:dyDescent="0.35">
      <c r="C6" s="43"/>
      <c r="D6" s="43"/>
      <c r="E6" s="43"/>
      <c r="F6" s="43"/>
      <c r="G6" s="43"/>
      <c r="H6" s="43"/>
      <c r="I6" s="43"/>
    </row>
    <row r="7" spans="1:9" ht="12.75" customHeight="1" x14ac:dyDescent="0.35"/>
    <row r="8" spans="1:9" ht="12.75" customHeight="1" x14ac:dyDescent="0.35"/>
    <row r="9" spans="1:9" ht="30" customHeight="1" x14ac:dyDescent="0.35">
      <c r="C9" s="35" t="s">
        <v>0</v>
      </c>
      <c r="D9" s="35" t="s">
        <v>7</v>
      </c>
      <c r="E9" s="35" t="s">
        <v>8</v>
      </c>
      <c r="F9" s="35" t="s">
        <v>9</v>
      </c>
      <c r="G9" s="35" t="s">
        <v>10</v>
      </c>
      <c r="H9" s="35" t="s">
        <v>11</v>
      </c>
      <c r="I9" s="35" t="s">
        <v>3</v>
      </c>
    </row>
    <row r="10" spans="1:9" ht="12.75" customHeight="1" x14ac:dyDescent="0.35">
      <c r="A10" t="s">
        <v>106</v>
      </c>
      <c r="C10" s="44"/>
      <c r="D10" s="70"/>
      <c r="E10" s="70"/>
      <c r="F10" s="71"/>
      <c r="G10" s="47"/>
      <c r="H10" s="49"/>
      <c r="I10" s="51" t="s">
        <v>14</v>
      </c>
    </row>
    <row r="11" spans="1:9" ht="12.75" x14ac:dyDescent="0.35">
      <c r="A11" t="s">
        <v>107</v>
      </c>
      <c r="C11" s="45" t="s">
        <v>58</v>
      </c>
      <c r="D11" s="72" t="s">
        <v>12</v>
      </c>
      <c r="E11" s="72" t="s">
        <v>12</v>
      </c>
      <c r="F11" s="73"/>
      <c r="G11" s="48"/>
      <c r="H11" s="50"/>
      <c r="I11" s="52"/>
    </row>
    <row r="12" spans="1:9" ht="23.25" outlineLevel="1" x14ac:dyDescent="0.35">
      <c r="A12" t="s">
        <v>108</v>
      </c>
      <c r="C12" s="40"/>
      <c r="D12" s="53" t="s">
        <v>13</v>
      </c>
      <c r="E12" s="41" t="s">
        <v>13</v>
      </c>
      <c r="F12" s="41" t="s">
        <v>12</v>
      </c>
      <c r="G12" s="54">
        <f>I12</f>
        <v>1</v>
      </c>
      <c r="H12" s="55" t="s">
        <v>109</v>
      </c>
      <c r="I12" s="56">
        <v>1</v>
      </c>
    </row>
    <row r="13" spans="1:9" ht="12.75" x14ac:dyDescent="0.35"/>
  </sheetData>
  <mergeCells count="2">
    <mergeCell ref="D10:F10"/>
    <mergeCell ref="D11:F11"/>
  </mergeCells>
  <phoneticPr fontId="19" type="noConversion"/>
  <pageMargins left="0.51181102362204722" right="0.51181102362204722" top="0.51181102362204722" bottom="0.47244094488188981" header="7.874015748031496E-2" footer="0.1968503937007874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41</vt:i4>
      </vt:variant>
    </vt:vector>
  </HeadingPairs>
  <TitlesOfParts>
    <vt:vector size="48" baseType="lpstr">
      <vt:lpstr>封面</vt:lpstr>
      <vt:lpstr>免责声明</vt:lpstr>
      <vt:lpstr>基础信息表</vt:lpstr>
      <vt:lpstr>汇总表</vt:lpstr>
      <vt:lpstr>(配置参数)专业服务</vt:lpstr>
      <vt:lpstr>tmp_v</vt:lpstr>
      <vt:lpstr>昇腾计算(A3)驻场服务</vt:lpstr>
      <vt:lpstr>封面!AGENTID</vt:lpstr>
      <vt:lpstr>基础信息表!bAuthPriceName</vt:lpstr>
      <vt:lpstr>基础信息表!bContractNo</vt:lpstr>
      <vt:lpstr>基础信息表!bCountry</vt:lpstr>
      <vt:lpstr>基础信息表!bCountryName</vt:lpstr>
      <vt:lpstr>封面!BOQ_FLAG</vt:lpstr>
      <vt:lpstr>基础信息表!bPartnerName</vt:lpstr>
      <vt:lpstr>基础信息表!bPoNo</vt:lpstr>
      <vt:lpstr>基础信息表!bPriceBookName</vt:lpstr>
      <vt:lpstr>基础信息表!bPriceId</vt:lpstr>
      <vt:lpstr>基础信息表!bProposalNo</vt:lpstr>
      <vt:lpstr>基础信息表!bQuotationType</vt:lpstr>
      <vt:lpstr>基础信息表!bUserId</vt:lpstr>
      <vt:lpstr>'(配置参数)专业服务'!CFGAREA</vt:lpstr>
      <vt:lpstr>汇总表!CFGAREA</vt:lpstr>
      <vt:lpstr>'昇腾计算(A3)驻场服务'!CFGAREA</vt:lpstr>
      <vt:lpstr>封面!COMPANYNAME</vt:lpstr>
      <vt:lpstr>封面!CREATE_DATE</vt:lpstr>
      <vt:lpstr>'(配置参数)专业服务'!PARAMAREA</vt:lpstr>
      <vt:lpstr>封面!PONUMBER</vt:lpstr>
      <vt:lpstr>封面!PRICEID</vt:lpstr>
      <vt:lpstr>封面!Print_Area</vt:lpstr>
      <vt:lpstr>汇总表!Print_Area</vt:lpstr>
      <vt:lpstr>免责声明!Print_Area</vt:lpstr>
      <vt:lpstr>'昇腾计算(A3)驻场服务'!Print_Area</vt:lpstr>
      <vt:lpstr>汇总表!Print_Titles</vt:lpstr>
      <vt:lpstr>'昇腾计算(A3)驻场服务'!Print_Titles</vt:lpstr>
      <vt:lpstr>封面!PROJECTCODE</vt:lpstr>
      <vt:lpstr>封面!PROJECTNAME</vt:lpstr>
      <vt:lpstr>免责声明!QF_SYS_CURRENCY1</vt:lpstr>
      <vt:lpstr>免责声明!QF_SYS_DESTINATION1</vt:lpstr>
      <vt:lpstr>免责声明!QF_SYS_DISTRIBUTIONCECURRENCY</vt:lpstr>
      <vt:lpstr>免责声明!QF_SYS_LISTPRICECURRENCY</vt:lpstr>
      <vt:lpstr>免责声明!QF_SYS_TRADETERMDESC1</vt:lpstr>
      <vt:lpstr>封面!QUOTATIONBY</vt:lpstr>
      <vt:lpstr>封面!QUOTATIONNO</vt:lpstr>
      <vt:lpstr>免责声明!QuoteType</vt:lpstr>
      <vt:lpstr>封面!USERID</vt:lpstr>
      <vt:lpstr>封面!VALID_AREA</vt:lpstr>
      <vt:lpstr>基础信息表!VALID_AREA</vt:lpstr>
      <vt:lpstr>免责声明!VALID_AREA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2026-06-08T02:41:44Z</dcterms:modified>
</cp:coreProperties>
</file>