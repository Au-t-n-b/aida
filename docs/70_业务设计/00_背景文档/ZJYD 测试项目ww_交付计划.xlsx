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blueprint-ui-dashboard\浙江移动\"/>
    </mc:Choice>
  </mc:AlternateContent>
  <xr:revisionPtr revIDLastSave="0" documentId="13_ncr:1_{D83EE3C2-B021-4F67-A4C9-6E7D60819B01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7" i="1" l="1"/>
  <c r="F67" i="1"/>
  <c r="F60" i="1"/>
  <c r="E60" i="1"/>
  <c r="F34" i="1"/>
  <c r="E34" i="1"/>
  <c r="F31" i="1"/>
  <c r="F24" i="1" s="1"/>
  <c r="E31" i="1"/>
  <c r="E24" i="1" s="1"/>
  <c r="F22" i="1"/>
  <c r="E22" i="1"/>
  <c r="F12" i="1"/>
  <c r="E12" i="1"/>
  <c r="F8" i="1"/>
  <c r="F9" i="1" s="1"/>
  <c r="E8" i="1"/>
  <c r="F2" i="1"/>
  <c r="E2" i="1"/>
  <c r="F13" i="1" l="1"/>
  <c r="F5" i="1"/>
  <c r="E13" i="1"/>
  <c r="E9" i="1"/>
  <c r="E5" i="1" s="1"/>
  <c r="F14" i="1" l="1"/>
  <c r="E14" i="1"/>
  <c r="E10" i="1" s="1"/>
  <c r="F18" i="1" l="1"/>
  <c r="F20" i="1"/>
  <c r="F16" i="1"/>
  <c r="F10" i="1"/>
  <c r="F19" i="1"/>
  <c r="E19" i="1"/>
  <c r="F17" i="1"/>
  <c r="E17" i="1"/>
  <c r="E20" i="1"/>
  <c r="E18" i="1"/>
  <c r="E16" i="1"/>
  <c r="F21" i="1" l="1"/>
  <c r="F15" i="1" s="1"/>
  <c r="E21" i="1"/>
  <c r="E15" i="1" s="1"/>
  <c r="F43" i="1" l="1"/>
  <c r="F35" i="1"/>
  <c r="F49" i="1"/>
  <c r="E36" i="1"/>
  <c r="E43" i="1"/>
  <c r="E35" i="1"/>
  <c r="E39" i="1"/>
  <c r="F42" i="1"/>
  <c r="E42" i="1"/>
  <c r="E49" i="1"/>
  <c r="F36" i="1"/>
  <c r="F39" i="1"/>
  <c r="F37" i="1" l="1"/>
  <c r="E37" i="1"/>
  <c r="F50" i="1"/>
  <c r="E50" i="1"/>
  <c r="F40" i="1"/>
  <c r="E40" i="1"/>
  <c r="F44" i="1"/>
  <c r="E44" i="1"/>
  <c r="E59" i="1" l="1"/>
  <c r="F59" i="1"/>
  <c r="F45" i="1"/>
  <c r="E45" i="1"/>
  <c r="E56" i="1"/>
  <c r="F41" i="1"/>
  <c r="E41" i="1"/>
  <c r="F56" i="1"/>
  <c r="E63" i="1"/>
  <c r="F63" i="1"/>
  <c r="F51" i="1"/>
  <c r="E51" i="1"/>
  <c r="E53" i="1"/>
  <c r="F38" i="1"/>
  <c r="F33" i="1" s="1"/>
  <c r="E38" i="1"/>
  <c r="E33" i="1" s="1"/>
  <c r="F53" i="1"/>
  <c r="F64" i="1" l="1"/>
  <c r="F65" i="1"/>
  <c r="E64" i="1"/>
  <c r="E65" i="1"/>
  <c r="F57" i="1"/>
  <c r="F58" i="1" s="1"/>
  <c r="E57" i="1"/>
  <c r="E58" i="1" s="1"/>
  <c r="F61" i="1"/>
  <c r="E61" i="1"/>
  <c r="F54" i="1"/>
  <c r="E54" i="1"/>
  <c r="F69" i="1" l="1"/>
  <c r="E69" i="1"/>
  <c r="E55" i="1"/>
  <c r="F55" i="1"/>
  <c r="E73" i="1"/>
  <c r="E70" i="1"/>
  <c r="F73" i="1"/>
  <c r="F62" i="1"/>
  <c r="E62" i="1"/>
  <c r="F70" i="1"/>
  <c r="F66" i="1"/>
  <c r="E66" i="1"/>
  <c r="F71" i="1"/>
  <c r="E71" i="1"/>
  <c r="F68" i="1" l="1"/>
  <c r="E68" i="1"/>
  <c r="E52" i="1"/>
  <c r="F74" i="1"/>
  <c r="F76" i="1" s="1"/>
  <c r="E74" i="1"/>
  <c r="F52" i="1"/>
  <c r="F77" i="1" l="1"/>
  <c r="E77" i="1"/>
  <c r="E76" i="1"/>
  <c r="F79" i="1" l="1"/>
  <c r="E79" i="1"/>
  <c r="F75" i="1"/>
  <c r="F72" i="1" s="1"/>
  <c r="E75" i="1"/>
  <c r="E72" i="1" s="1"/>
  <c r="F80" i="1" l="1"/>
  <c r="E80" i="1"/>
  <c r="F81" i="1" l="1"/>
  <c r="E81" i="1"/>
  <c r="F82" i="1" l="1"/>
  <c r="F78" i="1" s="1"/>
  <c r="E82" i="1"/>
  <c r="E7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B1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此列数据不可为空</t>
        </r>
      </text>
    </comment>
    <comment ref="D1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此列数据不可为空</t>
        </r>
      </text>
    </comment>
  </commentList>
</comments>
</file>

<file path=xl/sharedStrings.xml><?xml version="1.0" encoding="utf-8"?>
<sst xmlns="http://schemas.openxmlformats.org/spreadsheetml/2006/main" count="718" uniqueCount="294">
  <si>
    <t>序列号</t>
  </si>
  <si>
    <t>活动ID</t>
  </si>
  <si>
    <t>管理单元</t>
  </si>
  <si>
    <t>活动名称</t>
  </si>
  <si>
    <t>开始日期</t>
  </si>
  <si>
    <t>结束日期</t>
  </si>
  <si>
    <t>SLA</t>
  </si>
  <si>
    <t>依赖活动</t>
  </si>
  <si>
    <t>批次</t>
  </si>
  <si>
    <t>设备型号&amp;数量的列表</t>
  </si>
  <si>
    <t>远程团队</t>
  </si>
  <si>
    <t>现场团队</t>
  </si>
  <si>
    <t>责任人</t>
  </si>
  <si>
    <t>原始管理单元</t>
  </si>
  <si>
    <t>b976a0a5c6dba248387c5ce709f9edef</t>
  </si>
  <si>
    <t>2.0</t>
  </si>
  <si>
    <t>L1机房准备</t>
  </si>
  <si>
    <t>胡德华 00952466</t>
  </si>
  <si>
    <t>b72b2188610a57b2420a7dc81da7723d</t>
  </si>
  <si>
    <t>2.3</t>
  </si>
  <si>
    <t>机房改造实施</t>
  </si>
  <si>
    <t>S</t>
  </si>
  <si>
    <t>未指定责任人</t>
  </si>
  <si>
    <t>6de04082a4b7f935b7631093bffb48da</t>
  </si>
  <si>
    <t>3.0</t>
  </si>
  <si>
    <t>工程勘测</t>
  </si>
  <si>
    <t>a683cb5d66e6b1dd7a0656ff3b45b135</t>
  </si>
  <si>
    <t>3.1</t>
  </si>
  <si>
    <t>现场勘测</t>
  </si>
  <si>
    <t>3天</t>
  </si>
  <si>
    <t>R</t>
  </si>
  <si>
    <t>e26ed58fdab1759279558925bb6882b6</t>
  </si>
  <si>
    <t>3.2</t>
  </si>
  <si>
    <t>远程视频辅助</t>
  </si>
  <si>
    <t>侯克照 00578443</t>
  </si>
  <si>
    <t>cf963153770fb0a19c6572c6ef095e89</t>
  </si>
  <si>
    <t>3.3</t>
  </si>
  <si>
    <t>输出工勘报告</t>
  </si>
  <si>
    <t>5天</t>
  </si>
  <si>
    <t>现场勘测,远程视频辅助</t>
  </si>
  <si>
    <t>bc7c6b5747f8db7dac0ad905dfdef902</t>
  </si>
  <si>
    <t>3.4</t>
  </si>
  <si>
    <t>工程勘测报告评审</t>
  </si>
  <si>
    <t>462a2349425aa95ddc0e0f0613d492ae</t>
  </si>
  <si>
    <t>4.0</t>
  </si>
  <si>
    <t>建模仿真</t>
  </si>
  <si>
    <t>6683dc8060b657282e0be0398ffc5eac</t>
  </si>
  <si>
    <t>4.1</t>
  </si>
  <si>
    <t>信息分析与确认</t>
  </si>
  <si>
    <t>1天</t>
  </si>
  <si>
    <t>张志峰 00486208</t>
  </si>
  <si>
    <t>522898e0b7de3316df70df2b9a56daa7</t>
  </si>
  <si>
    <t>4.2</t>
  </si>
  <si>
    <t>建模仿真设计</t>
  </si>
  <si>
    <t>b44569b656c55165296ffea01cd66c4e</t>
  </si>
  <si>
    <t>4.3</t>
  </si>
  <si>
    <t>建模仿真初稿评审</t>
  </si>
  <si>
    <t>9a31fc404f3f32b8b1f0d3c2b50617a9</t>
  </si>
  <si>
    <t>4.4</t>
  </si>
  <si>
    <t>建模仿真终稿输出</t>
  </si>
  <si>
    <t>13a22ff7610f12a4cd8cf16c47410a29</t>
  </si>
  <si>
    <t>5.0</t>
  </si>
  <si>
    <t>低阶设计</t>
  </si>
  <si>
    <t>575de84745287e8afd5f0a2809eb1c4c</t>
  </si>
  <si>
    <t>5.1</t>
  </si>
  <si>
    <t>集群LLD设计</t>
  </si>
  <si>
    <t>工程勘测报告评审,建模仿真终稿输出</t>
  </si>
  <si>
    <t>张宏枫  00933673</t>
  </si>
  <si>
    <t>5a2bfe070304f5954664eb2c5251c174</t>
  </si>
  <si>
    <t>5.2</t>
  </si>
  <si>
    <t>计算子系统LLD设计</t>
  </si>
  <si>
    <t>d16cdf6008dbef26db131ea20333ae2d</t>
  </si>
  <si>
    <t>5.3</t>
  </si>
  <si>
    <t>网络子系统LLD设计</t>
  </si>
  <si>
    <t>网络专家</t>
  </si>
  <si>
    <t>4e46353894abb953bf552bcdb7e86db4</t>
  </si>
  <si>
    <t>5.4</t>
  </si>
  <si>
    <t>存储子系统LLD设计</t>
  </si>
  <si>
    <t>朱建忠 00867300</t>
  </si>
  <si>
    <t>bac243658a894984fdeb1df7ab55ed26</t>
  </si>
  <si>
    <t>5.6</t>
  </si>
  <si>
    <t>集群验收方案设计</t>
  </si>
  <si>
    <t>叶志勇 00817972</t>
  </si>
  <si>
    <t>b9c457e3762bd264eba8c13e657c84a6</t>
  </si>
  <si>
    <t>5.7</t>
  </si>
  <si>
    <t>低阶设计评审</t>
  </si>
  <si>
    <t>集群LLD设计,计算子系统LLD设计,网络子系统LLD设计,存储子系统LLD设计,集群验收方案设计</t>
  </si>
  <si>
    <t>495876e3e10dae7f401347bb1f033f93</t>
  </si>
  <si>
    <t>13.0</t>
  </si>
  <si>
    <t>工具准备</t>
  </si>
  <si>
    <t>b1e0137c6a10e90d997a52cee5013806</t>
  </si>
  <si>
    <t>13.1</t>
  </si>
  <si>
    <t>工程安装调测工具准备</t>
  </si>
  <si>
    <t>10天</t>
  </si>
  <si>
    <t>29a4d2fddd35f03b49745d7fc3a1b98a</t>
  </si>
  <si>
    <t>6.0</t>
  </si>
  <si>
    <t>104-PoD1</t>
  </si>
  <si>
    <t>到货</t>
  </si>
  <si>
    <t>CE16808 2台,CE6865E 4台,CE6865E 2台,Eudemon9000E-H6 2台,CE9860 2台,CE9860 4台,CE9860 2台,S7608X-G 2台,CE6881H 5台,5952G-D 1台,CE6881H 4台,CE6865E 2台,Eudemon1000E-F55 2台,CE6881H 2台,长江计算R240K V2 3台,长江计算R240K V2 3台,长江计算R240K V2 3台,长江计算R240K V2 3台,神州数码KunTai R622 2台,OceanStor A800 1台,Atlas 900 A3 SuperPoD 48台,400G MPO线缆 2688根,GE 网线 108根,10GE/25GE LC光纤 192根,200G 一分二 MPO线缆 48根</t>
  </si>
  <si>
    <t>afa4352d74d8b266b919edfea0914567</t>
  </si>
  <si>
    <t>6.4</t>
  </si>
  <si>
    <t>通用线缆到货（含开箱验货）</t>
  </si>
  <si>
    <t>2</t>
  </si>
  <si>
    <t>GE 网线 108根,10GE/25GE LC光纤 192根,200G 一分二 MPO线缆 48根</t>
  </si>
  <si>
    <t>汪伟 00468566</t>
  </si>
  <si>
    <t>3fb0c5bc47393ae407940e9b019978e4</t>
  </si>
  <si>
    <t>6.9</t>
  </si>
  <si>
    <t>网络到货（含开箱验货）</t>
  </si>
  <si>
    <t>4</t>
  </si>
  <si>
    <t>CE16808 2台,CE6865E 4台,CE6865E 2台,Eudemon9000E-H6 2台,CE9860 2台,CE9860 4台,CE9860 2台,S7608X-G 2台,CE6881H 5台,5952G-D 1台,CE6881H 4台,CE6865E 2台,Eudemon1000E-F55 2台,CE6881H 2台</t>
  </si>
  <si>
    <t>30dbc9dd75353718c75353eaa3d5bfc6</t>
  </si>
  <si>
    <t>6.7</t>
  </si>
  <si>
    <t>通算到货（含开箱验货）</t>
  </si>
  <si>
    <t>3</t>
  </si>
  <si>
    <t>长江计算R240K V2 3台,长江计算R240K V2 3台,长江计算R240K V2 3台,长江计算R240K V2 3台,神州数码KunTai R622 2台</t>
  </si>
  <si>
    <t>51712870d1eef8dac80f152f7a5d37fa</t>
  </si>
  <si>
    <t>6.5</t>
  </si>
  <si>
    <t>灵衢线缆到货（含开箱验货）</t>
  </si>
  <si>
    <t>6</t>
  </si>
  <si>
    <t>400G MPO线缆 2688根</t>
  </si>
  <si>
    <t>832f20c4485a392f4785db633daa4fac</t>
  </si>
  <si>
    <t>6.2</t>
  </si>
  <si>
    <t>计算柜到货（含开箱验货）</t>
  </si>
  <si>
    <t>5</t>
  </si>
  <si>
    <t>Atlas 900 A3 SuperPoD 48台</t>
  </si>
  <si>
    <t>6a71d0b355e509409e561180b407c4e9</t>
  </si>
  <si>
    <t>6.11</t>
  </si>
  <si>
    <t>转运与设备静置</t>
  </si>
  <si>
    <t>总线设备柜到货（含开箱验货）,计算柜到货（含开箱验货）</t>
  </si>
  <si>
    <t>0b781c86a296fb6250602dd8bc3ec642</t>
  </si>
  <si>
    <t>6.8</t>
  </si>
  <si>
    <t>存储到货（含开箱验货）</t>
  </si>
  <si>
    <t>7</t>
  </si>
  <si>
    <t>OceanStor A800 1台</t>
  </si>
  <si>
    <t>ffcf4f3d3c3c76c20a55868c6d6d0d9c</t>
  </si>
  <si>
    <t>7.0</t>
  </si>
  <si>
    <t>工程安装</t>
  </si>
  <si>
    <t>4ed409bcfa93b25b68426d174376cc89</t>
  </si>
  <si>
    <t>7.1</t>
  </si>
  <si>
    <t>机房洁净度测试</t>
  </si>
  <si>
    <t>3efdabcae88bca3cbe5487d4e6f2b9ca</t>
  </si>
  <si>
    <t>7.2</t>
  </si>
  <si>
    <t>综合布线与成端-通用线缆</t>
  </si>
  <si>
    <t>4天</t>
  </si>
  <si>
    <t>低阶设计评审,通用线缆到货（含开箱验货）,机房洁净度测试</t>
  </si>
  <si>
    <t>4ee82f4b88f2c318c6a1293dbb5f942e</t>
  </si>
  <si>
    <t>7.13</t>
  </si>
  <si>
    <t>网络设备安装</t>
  </si>
  <si>
    <t>2天</t>
  </si>
  <si>
    <t>机房改造实施,低阶设计评审,网络到货（含开箱验货）</t>
  </si>
  <si>
    <t>9aaaaabcf78235cb5eb6b02d09bbedc8</t>
  </si>
  <si>
    <t>7.14</t>
  </si>
  <si>
    <t>网络设备上电</t>
  </si>
  <si>
    <t>网络设备安装,综合布线与成端-通用线缆</t>
  </si>
  <si>
    <t>83ed0ce7c4a022938604f1607ad84d22</t>
  </si>
  <si>
    <t>7.15</t>
  </si>
  <si>
    <t>cd6ec2cdf780bd222b68ba5fcf794dce</t>
  </si>
  <si>
    <t>7.7</t>
  </si>
  <si>
    <t>通算服务器安装</t>
  </si>
  <si>
    <t>机房改造实施,低阶设计评审,通算到货（含开箱验货）</t>
  </si>
  <si>
    <t>b1c0fee80dde387d019656dc1ce425fd</t>
  </si>
  <si>
    <t>7.8</t>
  </si>
  <si>
    <t>通算设备上电</t>
  </si>
  <si>
    <t>综合布线与成端-通用线缆,通算服务器安装</t>
  </si>
  <si>
    <t>d962d32f97d6c712a948b540de1d2d99</t>
  </si>
  <si>
    <t>7.9</t>
  </si>
  <si>
    <t>通算设备硬件验收</t>
  </si>
  <si>
    <t>2c746e639f3ce93164ca312a630ff26f</t>
  </si>
  <si>
    <t>7.3</t>
  </si>
  <si>
    <t>综合布线与成端-灵衢线缆</t>
  </si>
  <si>
    <t>12天</t>
  </si>
  <si>
    <t>低阶设计评审,灵衢线缆到货（含开箱验货）,机房洁净度测试</t>
  </si>
  <si>
    <t>bd30a522f342f59b7bdd332d8ba72a1e</t>
  </si>
  <si>
    <t>7.10</t>
  </si>
  <si>
    <t>存储设备安装</t>
  </si>
  <si>
    <t>机房改造实施,低阶设计评审,存储到货（含开箱验货）</t>
  </si>
  <si>
    <t>a07d39863ba9964bf7d173774be7006f</t>
  </si>
  <si>
    <t>7.11</t>
  </si>
  <si>
    <t>存储设备上电</t>
  </si>
  <si>
    <t>存储设备安装,综合布线与成端-通用线缆</t>
  </si>
  <si>
    <t>41b5af139fc76d1eba5e8f190094efe7</t>
  </si>
  <si>
    <t>7.12</t>
  </si>
  <si>
    <t>存储设备硬件验收</t>
  </si>
  <si>
    <t>f79e31e0d787b2548fd29eff6b9fe490</t>
  </si>
  <si>
    <t>7.19</t>
  </si>
  <si>
    <t>液冷计算柜安装</t>
  </si>
  <si>
    <t>机房改造实施,低阶设计评审,转运与设备静置</t>
  </si>
  <si>
    <t>a4c29b3aa6d52d990d095c0cc13b3259</t>
  </si>
  <si>
    <t>7.20</t>
  </si>
  <si>
    <t>液冷计算柜设备上电</t>
  </si>
  <si>
    <t>61573323c671f9862f49dab64602596c</t>
  </si>
  <si>
    <t>7.21</t>
  </si>
  <si>
    <t>液冷计算柜验收</t>
  </si>
  <si>
    <t>7天</t>
  </si>
  <si>
    <t>13bb9526ee5fccd330c2560f2b880d05</t>
  </si>
  <si>
    <t>8.0</t>
  </si>
  <si>
    <t>单机调测</t>
  </si>
  <si>
    <t>Atlas 900 A3 SuperPoD 48台,长江计算R240K V2 3台,长江计算R240K V2 3台,长江计算R240K V2 3台,长江计算R240K V2 3台,神州数码KunTai R622 2台,OceanStor A800 1台,CE16808 2台,CE6865E 4台,CE6865E 2台,Eudemon9000E-H6 2台,CE9860 2台,CE9860 4台,CE9860 2台,S7608X-G 2台,CE6881H 5台,5952G-D 1台,CE6881H 4台,CE6865E 2台,Eudemon1000E-F55 2台,CE6881H 2台</t>
  </si>
  <si>
    <t>61e5f8425c42b2fc8953eaa63d71753c</t>
  </si>
  <si>
    <t>8.1</t>
  </si>
  <si>
    <t>基础网络配置</t>
  </si>
  <si>
    <t>fe26b44873dc434167db0955cd036aed</t>
  </si>
  <si>
    <t>8.7</t>
  </si>
  <si>
    <t>网络子系统部署调测</t>
  </si>
  <si>
    <t>a46948201a5fc291a848826a484beb8e</t>
  </si>
  <si>
    <t>8.15</t>
  </si>
  <si>
    <t>网络子系统验证</t>
  </si>
  <si>
    <t>40df9bd3d1f33fb952a9dc947bbf52ec</t>
  </si>
  <si>
    <t>8.3</t>
  </si>
  <si>
    <t>设备硬装初始化-通算服务器</t>
  </si>
  <si>
    <t>aed16502450dda68790b2225ca90be76</t>
  </si>
  <si>
    <t>8.9</t>
  </si>
  <si>
    <t>3b07b5aebc577ffda0f15abcd0a154f8</t>
  </si>
  <si>
    <t>8.4</t>
  </si>
  <si>
    <t>设备硬装初始化-存储服务器</t>
  </si>
  <si>
    <t>6469f03390a748686453c775f63bec13</t>
  </si>
  <si>
    <t>8.11</t>
  </si>
  <si>
    <t>存储子系统部署调测</t>
  </si>
  <si>
    <t>105774e856ccad90d17393dc3cc15556</t>
  </si>
  <si>
    <t>8.14</t>
  </si>
  <si>
    <t>存储子系统验证</t>
  </si>
  <si>
    <t>10d3f3c12cb8f2df49e7bb6b007e4425</t>
  </si>
  <si>
    <t>8.2</t>
  </si>
  <si>
    <t>设备硬装初始化-智算服务器</t>
  </si>
  <si>
    <t>38cc79b78918e59b12f2f451d8e5d24d</t>
  </si>
  <si>
    <t>8.6</t>
  </si>
  <si>
    <t>智算硬件压测</t>
  </si>
  <si>
    <t>08232b8f953a18b9f2629b007f036a71</t>
  </si>
  <si>
    <t>8.8</t>
  </si>
  <si>
    <t>计算子系统部署调测-智算服务器</t>
  </si>
  <si>
    <t>7c7e3794733d7bce9ea1d737324ae49a</t>
  </si>
  <si>
    <t>8.12</t>
  </si>
  <si>
    <t>计算子系统验证-智算服务器</t>
  </si>
  <si>
    <t>429794007b39466eb973c5b0e4173bd0</t>
  </si>
  <si>
    <t>9.2</t>
  </si>
  <si>
    <t>网络管理系统对接</t>
  </si>
  <si>
    <t>22e652d3a9dd64bc8ef8d5f7738bb789</t>
  </si>
  <si>
    <t>9.3</t>
  </si>
  <si>
    <t>存储管理系统对接</t>
  </si>
  <si>
    <t>3ce83bf9cad95157a710f552b5c753a4</t>
  </si>
  <si>
    <t>9.1</t>
  </si>
  <si>
    <t>计算管理系统对接</t>
  </si>
  <si>
    <t>7cbea74f4dcca985ce76126bf968c400</t>
  </si>
  <si>
    <t>9.0</t>
  </si>
  <si>
    <t>集群调测</t>
  </si>
  <si>
    <t>99f3a42d65942f7e0df5fceb195288a2</t>
  </si>
  <si>
    <t>9.4</t>
  </si>
  <si>
    <t>线序及光链路质量排查</t>
  </si>
  <si>
    <t>计算子系统部署调测-灵衢网络,存储子系统部署调测,网络子系统部署调测,计算子系统部署调测-智算服务器,计算子系统部署调测-通算服务器</t>
  </si>
  <si>
    <t>29864f6950ec843049a481baab62107d</t>
  </si>
  <si>
    <t>9.5</t>
  </si>
  <si>
    <t>综合布线整改</t>
  </si>
  <si>
    <t>daafd91bc994ffe80c41a2fa4cc4fb8f</t>
  </si>
  <si>
    <t>9.8</t>
  </si>
  <si>
    <t>集群性能调优</t>
  </si>
  <si>
    <t>集群系统集成测试</t>
  </si>
  <si>
    <t>5f50db3187cdeb4143311b1e1f50942f</t>
  </si>
  <si>
    <t>9.6</t>
  </si>
  <si>
    <t>集群通信配置测试</t>
  </si>
  <si>
    <t>计算子系统验证-智算服务器,计算子系统验证-灵衢网络,存储子系统验证,网络子系统验证,计算子系统验证-通算服务器,综合布线整改</t>
  </si>
  <si>
    <t>Atlas 900 A3 SuperPoD 48 柜</t>
  </si>
  <si>
    <t>e6f8f5f33bcb4ea6bd113981d17fb9ab</t>
  </si>
  <si>
    <t>9.7</t>
  </si>
  <si>
    <t>788d8c7b17e0d032833365af75b64554</t>
  </si>
  <si>
    <t>12.0</t>
  </si>
  <si>
    <t>验收测试</t>
  </si>
  <si>
    <t>3b40737afc39781f7cf5a82e04c7dbe9</t>
  </si>
  <si>
    <t>12.1</t>
  </si>
  <si>
    <t>客户集群验收</t>
  </si>
  <si>
    <t>1499f4b845615db3ed316a1766132650</t>
  </si>
  <si>
    <t>12.2</t>
  </si>
  <si>
    <t>输出验收报告</t>
  </si>
  <si>
    <t>15a406bec822df6bda30e034c898aad4</t>
  </si>
  <si>
    <t>12.3</t>
  </si>
  <si>
    <t>验收报告沟通</t>
  </si>
  <si>
    <t>e432ff83532fc5438b3eb8477cc0fcf8</t>
  </si>
  <si>
    <t>12.4</t>
  </si>
  <si>
    <t>移交</t>
  </si>
  <si>
    <t>总线设备柜到货(含开箱验货)</t>
    <phoneticPr fontId="3" type="noConversion"/>
  </si>
  <si>
    <t>总线设备柜安装</t>
    <phoneticPr fontId="3" type="noConversion"/>
  </si>
  <si>
    <t>总线设备柜设备上电</t>
    <phoneticPr fontId="3" type="noConversion"/>
  </si>
  <si>
    <t>总线设备柜设备验收</t>
    <phoneticPr fontId="3" type="noConversion"/>
  </si>
  <si>
    <t>设备硬装初始化-灵衢网络</t>
    <phoneticPr fontId="3" type="noConversion"/>
  </si>
  <si>
    <t>计算子系统部署调测-灵衢网络</t>
    <phoneticPr fontId="3" type="noConversion"/>
  </si>
  <si>
    <t>计算子系统验证-灵衢网络</t>
    <phoneticPr fontId="3" type="noConversion"/>
  </si>
  <si>
    <t>机房改造液冷完成</t>
    <phoneticPr fontId="3" type="noConversion"/>
  </si>
  <si>
    <t>7天</t>
    <phoneticPr fontId="3" type="noConversion"/>
  </si>
  <si>
    <t>计算子系统部署调测-通算服务器</t>
    <phoneticPr fontId="3" type="noConversion"/>
  </si>
  <si>
    <t>计算子系统验证-通算服务器</t>
    <phoneticPr fontId="3" type="noConversion"/>
  </si>
  <si>
    <t>2天</t>
    <phoneticPr fontId="3" type="noConversion"/>
  </si>
  <si>
    <t>网络设备硬件验收</t>
    <phoneticPr fontId="3" type="noConversion"/>
  </si>
  <si>
    <t>液冷计算柜设备上电</t>
    <phoneticPr fontId="3" type="noConversion"/>
  </si>
  <si>
    <t>,液冷计算柜安装,综合布线与成端-灵衢线缆</t>
    <phoneticPr fontId="3" type="noConversion"/>
  </si>
  <si>
    <t>机房改造实施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</si>
</sst>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176" fontId="1" fillId="0" borderId="1" xfId="0" applyNumberFormat="1" applyFont="1" applyBorder="1"/>
    <xf numFmtId="0" fontId="0" fillId="0" borderId="1" xfId="0" applyBorder="1"/>
    <xf numFmtId="176" fontId="0" fillId="0" borderId="1" xfId="0" applyNumberFormat="1" applyBorder="1"/>
    <xf numFmtId="0" fontId="4" fillId="3" borderId="2" xfId="0" applyFont="1" applyFill="1" applyBorder="1" applyAlignment="1">
      <alignment vertical="center" wrapText="1"/>
    </xf>
    <xf numFmtId="0" fontId="0" fillId="3" borderId="1" xfId="0" applyFill="1" applyBorder="1"/>
    <xf numFmtId="176" fontId="0" fillId="3" borderId="1" xfId="0" applyNumberFormat="1" applyFill="1" applyBorder="1"/>
    <xf numFmtId="0" fontId="0" fillId="3" borderId="0" xfId="0" applyFill="1"/>
    <xf numFmtId="0" fontId="0" fillId="0" borderId="1" xfId="0" applyBorder="1" applyAlignment="1">
      <alignment wrapText="1"/>
    </xf>
    <xf numFmtId="0" fontId="0" fillId="4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topLeftCell="C49" workbookViewId="0">
      <selection activeCell="F70" sqref="F70"/>
    </sheetView>
  </sheetViews>
  <sheetFormatPr defaultRowHeight="14.4" x14ac:dyDescent="0.25"/>
  <cols>
    <col min="1" max="1" width="34" hidden="1" customWidth="1"/>
    <col min="2" max="2" width="12" hidden="1" customWidth="1"/>
    <col min="3" max="3" width="10" customWidth="1"/>
    <col min="4" max="4" width="31" customWidth="1"/>
    <col min="5" max="6" width="60" customWidth="1"/>
    <col min="7" max="7" width="10" customWidth="1"/>
    <col min="8" max="8" width="60" customWidth="1"/>
    <col min="9" max="9" width="10" customWidth="1"/>
    <col min="10" max="10" width="120" customWidth="1"/>
    <col min="11" max="12" width="12" customWidth="1"/>
    <col min="13" max="13" width="18" customWidth="1"/>
    <col min="14" max="14" width="14" hidden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/>
      <c r="D2" s="2" t="s">
        <v>16</v>
      </c>
      <c r="E2" s="3">
        <f>MIN(E3)</f>
        <v>46204</v>
      </c>
      <c r="F2" s="3">
        <f>MAX(F3)</f>
        <v>46218</v>
      </c>
      <c r="G2" s="2"/>
      <c r="H2" s="2"/>
      <c r="I2" s="2"/>
      <c r="J2" s="2"/>
      <c r="K2" s="2"/>
      <c r="L2" s="2"/>
      <c r="M2" s="2" t="s">
        <v>17</v>
      </c>
      <c r="N2" s="2"/>
    </row>
    <row r="3" spans="1:14" x14ac:dyDescent="0.25">
      <c r="A3" s="4" t="s">
        <v>18</v>
      </c>
      <c r="B3" s="4" t="s">
        <v>19</v>
      </c>
      <c r="C3" s="4"/>
      <c r="D3" s="4" t="s">
        <v>293</v>
      </c>
      <c r="E3" s="5">
        <v>46204</v>
      </c>
      <c r="F3" s="5">
        <v>46218</v>
      </c>
      <c r="G3" s="4"/>
      <c r="H3" s="4"/>
      <c r="I3" s="4"/>
      <c r="J3" s="4"/>
      <c r="K3" s="4"/>
      <c r="L3" s="4" t="s">
        <v>21</v>
      </c>
      <c r="M3" s="4" t="s">
        <v>22</v>
      </c>
      <c r="N3" s="4"/>
    </row>
    <row r="4" spans="1:14" x14ac:dyDescent="0.25">
      <c r="D4" s="4" t="s">
        <v>285</v>
      </c>
      <c r="E4" s="5">
        <v>46218</v>
      </c>
      <c r="F4" s="5">
        <v>46225</v>
      </c>
      <c r="G4" s="4" t="s">
        <v>286</v>
      </c>
      <c r="H4" s="10"/>
    </row>
    <row r="5" spans="1:14" x14ac:dyDescent="0.25">
      <c r="A5" s="2" t="s">
        <v>23</v>
      </c>
      <c r="B5" s="2" t="s">
        <v>24</v>
      </c>
      <c r="C5" s="2"/>
      <c r="D5" s="2" t="s">
        <v>25</v>
      </c>
      <c r="E5" s="3">
        <f>MIN(E6,E7,E8,E9)</f>
        <v>46204</v>
      </c>
      <c r="F5" s="3">
        <f>MAX(F6,F7,F8,F9)</f>
        <v>46214</v>
      </c>
      <c r="G5" s="2"/>
      <c r="H5" s="2"/>
      <c r="I5" s="2"/>
      <c r="J5" s="2"/>
      <c r="K5" s="2"/>
      <c r="L5" s="2"/>
      <c r="M5" s="2" t="s">
        <v>17</v>
      </c>
      <c r="N5" s="2"/>
    </row>
    <row r="6" spans="1:14" x14ac:dyDescent="0.25">
      <c r="A6" s="4" t="s">
        <v>26</v>
      </c>
      <c r="B6" s="4" t="s">
        <v>27</v>
      </c>
      <c r="C6" s="4"/>
      <c r="D6" s="4" t="s">
        <v>28</v>
      </c>
      <c r="E6" s="5">
        <v>46204</v>
      </c>
      <c r="F6" s="5">
        <v>46206</v>
      </c>
      <c r="G6" s="4" t="s">
        <v>29</v>
      </c>
      <c r="H6" s="4"/>
      <c r="I6" s="4"/>
      <c r="J6" s="4"/>
      <c r="K6" s="4"/>
      <c r="L6" s="4" t="s">
        <v>30</v>
      </c>
      <c r="M6" s="4" t="s">
        <v>17</v>
      </c>
      <c r="N6" s="4"/>
    </row>
    <row r="7" spans="1:14" x14ac:dyDescent="0.25">
      <c r="A7" s="4" t="s">
        <v>31</v>
      </c>
      <c r="B7" s="4" t="s">
        <v>32</v>
      </c>
      <c r="C7" s="4"/>
      <c r="D7" s="4" t="s">
        <v>33</v>
      </c>
      <c r="E7" s="5">
        <v>46204</v>
      </c>
      <c r="F7" s="5">
        <v>46206</v>
      </c>
      <c r="G7" s="4" t="s">
        <v>29</v>
      </c>
      <c r="H7" s="4"/>
      <c r="I7" s="4"/>
      <c r="J7" s="4"/>
      <c r="K7" s="4" t="s">
        <v>30</v>
      </c>
      <c r="L7" s="4" t="s">
        <v>21</v>
      </c>
      <c r="M7" s="4" t="s">
        <v>34</v>
      </c>
      <c r="N7" s="4"/>
    </row>
    <row r="8" spans="1:14" x14ac:dyDescent="0.25">
      <c r="A8" s="4" t="s">
        <v>35</v>
      </c>
      <c r="B8" s="4" t="s">
        <v>36</v>
      </c>
      <c r="C8" s="4"/>
      <c r="D8" s="4" t="s">
        <v>37</v>
      </c>
      <c r="E8" s="5">
        <f>MAX(F6,F7)+1</f>
        <v>46207</v>
      </c>
      <c r="F8" s="5">
        <f>MAX(F6,F7)+1+5-1</f>
        <v>46211</v>
      </c>
      <c r="G8" s="4" t="s">
        <v>38</v>
      </c>
      <c r="H8" s="4" t="s">
        <v>39</v>
      </c>
      <c r="I8" s="4"/>
      <c r="J8" s="4"/>
      <c r="K8" s="4" t="s">
        <v>30</v>
      </c>
      <c r="L8" s="4"/>
      <c r="M8" s="4" t="s">
        <v>34</v>
      </c>
      <c r="N8" s="4"/>
    </row>
    <row r="9" spans="1:14" x14ac:dyDescent="0.25">
      <c r="A9" s="4" t="s">
        <v>40</v>
      </c>
      <c r="B9" s="4" t="s">
        <v>41</v>
      </c>
      <c r="C9" s="4"/>
      <c r="D9" s="4" t="s">
        <v>42</v>
      </c>
      <c r="E9" s="5">
        <f>MAX(F8)+1</f>
        <v>46212</v>
      </c>
      <c r="F9" s="5">
        <f>MAX(F8)+1+3-1</f>
        <v>46214</v>
      </c>
      <c r="G9" s="4" t="s">
        <v>29</v>
      </c>
      <c r="H9" s="4" t="s">
        <v>37</v>
      </c>
      <c r="I9" s="4"/>
      <c r="J9" s="4"/>
      <c r="K9" s="4" t="s">
        <v>21</v>
      </c>
      <c r="L9" s="4" t="s">
        <v>30</v>
      </c>
      <c r="M9" s="4" t="s">
        <v>17</v>
      </c>
      <c r="N9" s="4"/>
    </row>
    <row r="10" spans="1:14" x14ac:dyDescent="0.25">
      <c r="A10" s="2" t="s">
        <v>43</v>
      </c>
      <c r="B10" s="2" t="s">
        <v>44</v>
      </c>
      <c r="C10" s="2"/>
      <c r="D10" s="2" t="s">
        <v>45</v>
      </c>
      <c r="E10" s="3">
        <f>MIN(E11,E12,E13,E14)</f>
        <v>46207</v>
      </c>
      <c r="F10" s="3">
        <f>MAX(F11,F12,F13,F14)</f>
        <v>46214</v>
      </c>
      <c r="G10" s="2"/>
      <c r="H10" s="2"/>
      <c r="I10" s="2"/>
      <c r="J10" s="2"/>
      <c r="K10" s="2"/>
      <c r="L10" s="2"/>
      <c r="M10" s="2" t="s">
        <v>17</v>
      </c>
      <c r="N10" s="2"/>
    </row>
    <row r="11" spans="1:14" x14ac:dyDescent="0.25">
      <c r="A11" s="4" t="s">
        <v>46</v>
      </c>
      <c r="B11" s="4" t="s">
        <v>47</v>
      </c>
      <c r="C11" s="4"/>
      <c r="D11" s="4" t="s">
        <v>48</v>
      </c>
      <c r="E11" s="5">
        <v>46207</v>
      </c>
      <c r="F11" s="5">
        <v>46207</v>
      </c>
      <c r="G11" s="4" t="s">
        <v>49</v>
      </c>
      <c r="H11" s="4"/>
      <c r="I11" s="4"/>
      <c r="J11" s="4"/>
      <c r="K11" s="4" t="s">
        <v>30</v>
      </c>
      <c r="L11" s="4" t="s">
        <v>21</v>
      </c>
      <c r="M11" s="4" t="s">
        <v>50</v>
      </c>
      <c r="N11" s="4"/>
    </row>
    <row r="12" spans="1:14" x14ac:dyDescent="0.25">
      <c r="A12" s="4" t="s">
        <v>51</v>
      </c>
      <c r="B12" s="4" t="s">
        <v>52</v>
      </c>
      <c r="C12" s="4"/>
      <c r="D12" s="4" t="s">
        <v>53</v>
      </c>
      <c r="E12" s="5">
        <f>MAX(F11)+1</f>
        <v>46208</v>
      </c>
      <c r="F12" s="5">
        <f>MAX(F11)+1+5-1</f>
        <v>46212</v>
      </c>
      <c r="G12" s="4" t="s">
        <v>38</v>
      </c>
      <c r="H12" s="4" t="s">
        <v>48</v>
      </c>
      <c r="I12" s="4"/>
      <c r="J12" s="4"/>
      <c r="K12" s="4" t="s">
        <v>30</v>
      </c>
      <c r="L12" s="4" t="s">
        <v>21</v>
      </c>
      <c r="M12" s="4" t="s">
        <v>50</v>
      </c>
      <c r="N12" s="4"/>
    </row>
    <row r="13" spans="1:14" x14ac:dyDescent="0.25">
      <c r="A13" s="4" t="s">
        <v>54</v>
      </c>
      <c r="B13" s="4" t="s">
        <v>55</v>
      </c>
      <c r="C13" s="4"/>
      <c r="D13" s="4" t="s">
        <v>56</v>
      </c>
      <c r="E13" s="5">
        <f>MAX(F12)+1</f>
        <v>46213</v>
      </c>
      <c r="F13" s="5">
        <f>MAX(F12)+1+1-1</f>
        <v>46213</v>
      </c>
      <c r="G13" s="4" t="s">
        <v>49</v>
      </c>
      <c r="H13" s="4" t="s">
        <v>53</v>
      </c>
      <c r="I13" s="4"/>
      <c r="J13" s="4"/>
      <c r="K13" s="4" t="s">
        <v>30</v>
      </c>
      <c r="L13" s="4" t="s">
        <v>21</v>
      </c>
      <c r="M13" s="4" t="s">
        <v>50</v>
      </c>
      <c r="N13" s="4"/>
    </row>
    <row r="14" spans="1:14" x14ac:dyDescent="0.25">
      <c r="A14" s="4" t="s">
        <v>57</v>
      </c>
      <c r="B14" s="4" t="s">
        <v>58</v>
      </c>
      <c r="C14" s="4"/>
      <c r="D14" s="4" t="s">
        <v>59</v>
      </c>
      <c r="E14" s="5">
        <f>MAX(F13)+1</f>
        <v>46214</v>
      </c>
      <c r="F14" s="5">
        <f>MAX(F13)+1+1-1</f>
        <v>46214</v>
      </c>
      <c r="G14" s="4" t="s">
        <v>49</v>
      </c>
      <c r="H14" s="4" t="s">
        <v>56</v>
      </c>
      <c r="I14" s="4"/>
      <c r="J14" s="4"/>
      <c r="K14" s="4" t="s">
        <v>30</v>
      </c>
      <c r="L14" s="4" t="s">
        <v>21</v>
      </c>
      <c r="M14" s="4" t="s">
        <v>50</v>
      </c>
      <c r="N14" s="4"/>
    </row>
    <row r="15" spans="1:14" x14ac:dyDescent="0.25">
      <c r="A15" s="2" t="s">
        <v>60</v>
      </c>
      <c r="B15" s="2" t="s">
        <v>61</v>
      </c>
      <c r="C15" s="2"/>
      <c r="D15" s="2" t="s">
        <v>62</v>
      </c>
      <c r="E15" s="3">
        <f>MIN(E16,E17,E18,E19,E20,E21)</f>
        <v>46215</v>
      </c>
      <c r="F15" s="3">
        <f>MAX(F16,F17,F18,F19,F20,F21)</f>
        <v>46222</v>
      </c>
      <c r="G15" s="2"/>
      <c r="H15" s="2"/>
      <c r="I15" s="2"/>
      <c r="J15" s="2"/>
      <c r="K15" s="2"/>
      <c r="L15" s="2"/>
      <c r="M15" s="2" t="s">
        <v>17</v>
      </c>
      <c r="N15" s="2"/>
    </row>
    <row r="16" spans="1:14" x14ac:dyDescent="0.25">
      <c r="A16" s="4" t="s">
        <v>63</v>
      </c>
      <c r="B16" s="4" t="s">
        <v>64</v>
      </c>
      <c r="C16" s="4"/>
      <c r="D16" s="4" t="s">
        <v>65</v>
      </c>
      <c r="E16" s="5">
        <f>MAX(F9,F14)+1</f>
        <v>46215</v>
      </c>
      <c r="F16" s="5">
        <f>MAX(F9,F14)+1+5-1</f>
        <v>46219</v>
      </c>
      <c r="G16" s="4" t="s">
        <v>38</v>
      </c>
      <c r="H16" s="4" t="s">
        <v>66</v>
      </c>
      <c r="I16" s="4"/>
      <c r="J16" s="4"/>
      <c r="K16" s="4" t="s">
        <v>30</v>
      </c>
      <c r="L16" s="4"/>
      <c r="M16" s="4" t="s">
        <v>67</v>
      </c>
      <c r="N16" s="4"/>
    </row>
    <row r="17" spans="1:14" x14ac:dyDescent="0.25">
      <c r="A17" s="4" t="s">
        <v>68</v>
      </c>
      <c r="B17" s="4" t="s">
        <v>69</v>
      </c>
      <c r="C17" s="4"/>
      <c r="D17" s="4" t="s">
        <v>70</v>
      </c>
      <c r="E17" s="5">
        <f>MAX(F9,F14)+1</f>
        <v>46215</v>
      </c>
      <c r="F17" s="5">
        <f>MAX(F9,F14)+1+5-1</f>
        <v>46219</v>
      </c>
      <c r="G17" s="4" t="s">
        <v>38</v>
      </c>
      <c r="H17" s="4" t="s">
        <v>66</v>
      </c>
      <c r="I17" s="4"/>
      <c r="J17" s="4"/>
      <c r="K17" s="4" t="s">
        <v>30</v>
      </c>
      <c r="L17" s="4"/>
      <c r="M17" s="4" t="s">
        <v>67</v>
      </c>
      <c r="N17" s="4"/>
    </row>
    <row r="18" spans="1:14" x14ac:dyDescent="0.25">
      <c r="A18" s="4" t="s">
        <v>71</v>
      </c>
      <c r="B18" s="4" t="s">
        <v>72</v>
      </c>
      <c r="C18" s="4"/>
      <c r="D18" s="4" t="s">
        <v>73</v>
      </c>
      <c r="E18" s="5">
        <f>MAX(F9,F14)+1</f>
        <v>46215</v>
      </c>
      <c r="F18" s="5">
        <f>MAX(F9,F14)+1+5-1</f>
        <v>46219</v>
      </c>
      <c r="G18" s="4" t="s">
        <v>38</v>
      </c>
      <c r="H18" s="4" t="s">
        <v>66</v>
      </c>
      <c r="I18" s="4"/>
      <c r="J18" s="4"/>
      <c r="K18" s="4" t="s">
        <v>30</v>
      </c>
      <c r="L18" s="4"/>
      <c r="M18" s="4" t="s">
        <v>74</v>
      </c>
      <c r="N18" s="4"/>
    </row>
    <row r="19" spans="1:14" x14ac:dyDescent="0.25">
      <c r="A19" s="4" t="s">
        <v>75</v>
      </c>
      <c r="B19" s="4" t="s">
        <v>76</v>
      </c>
      <c r="C19" s="4"/>
      <c r="D19" s="4" t="s">
        <v>77</v>
      </c>
      <c r="E19" s="5">
        <f>MAX(F9,F14)+1</f>
        <v>46215</v>
      </c>
      <c r="F19" s="5">
        <f>MAX(F9,F14)+1+5-1</f>
        <v>46219</v>
      </c>
      <c r="G19" s="4" t="s">
        <v>38</v>
      </c>
      <c r="H19" s="4" t="s">
        <v>66</v>
      </c>
      <c r="I19" s="4"/>
      <c r="J19" s="4"/>
      <c r="K19" s="4" t="s">
        <v>30</v>
      </c>
      <c r="L19" s="4"/>
      <c r="M19" s="4" t="s">
        <v>78</v>
      </c>
      <c r="N19" s="4"/>
    </row>
    <row r="20" spans="1:14" x14ac:dyDescent="0.25">
      <c r="A20" s="4" t="s">
        <v>79</v>
      </c>
      <c r="B20" s="4" t="s">
        <v>80</v>
      </c>
      <c r="C20" s="4"/>
      <c r="D20" s="4" t="s">
        <v>81</v>
      </c>
      <c r="E20" s="5">
        <f>MAX(F9,F14)+1</f>
        <v>46215</v>
      </c>
      <c r="F20" s="5">
        <f>MAX(F9,F14)+1+5-1</f>
        <v>46219</v>
      </c>
      <c r="G20" s="4" t="s">
        <v>38</v>
      </c>
      <c r="H20" s="4" t="s">
        <v>66</v>
      </c>
      <c r="I20" s="4"/>
      <c r="J20" s="4"/>
      <c r="K20" s="4" t="s">
        <v>30</v>
      </c>
      <c r="L20" s="4"/>
      <c r="M20" s="4" t="s">
        <v>82</v>
      </c>
      <c r="N20" s="4"/>
    </row>
    <row r="21" spans="1:14" x14ac:dyDescent="0.25">
      <c r="A21" s="4" t="s">
        <v>83</v>
      </c>
      <c r="B21" s="4" t="s">
        <v>84</v>
      </c>
      <c r="C21" s="4"/>
      <c r="D21" s="4" t="s">
        <v>85</v>
      </c>
      <c r="E21" s="5">
        <f>MAX(F16,F17,F18,F19,F20)+1</f>
        <v>46220</v>
      </c>
      <c r="F21" s="5">
        <f>MAX(F16,F17,F18,F19,F20)+1+3-1</f>
        <v>46222</v>
      </c>
      <c r="G21" s="4" t="s">
        <v>29</v>
      </c>
      <c r="H21" s="4" t="s">
        <v>86</v>
      </c>
      <c r="I21" s="4"/>
      <c r="J21" s="4"/>
      <c r="K21" s="4" t="s">
        <v>21</v>
      </c>
      <c r="L21" s="4" t="s">
        <v>30</v>
      </c>
      <c r="M21" s="4" t="s">
        <v>17</v>
      </c>
      <c r="N21" s="4"/>
    </row>
    <row r="22" spans="1:14" x14ac:dyDescent="0.25">
      <c r="A22" s="2" t="s">
        <v>87</v>
      </c>
      <c r="B22" s="2" t="s">
        <v>88</v>
      </c>
      <c r="C22" s="2"/>
      <c r="D22" s="2" t="s">
        <v>89</v>
      </c>
      <c r="E22" s="3">
        <f>MIN(E23)</f>
        <v>46213</v>
      </c>
      <c r="F22" s="3">
        <f>MAX(F23)</f>
        <v>46222</v>
      </c>
      <c r="G22" s="2"/>
      <c r="H22" s="2"/>
      <c r="I22" s="2"/>
      <c r="J22" s="2"/>
      <c r="K22" s="2"/>
      <c r="L22" s="2"/>
      <c r="M22" s="2" t="s">
        <v>17</v>
      </c>
      <c r="N22" s="2"/>
    </row>
    <row r="23" spans="1:14" x14ac:dyDescent="0.25">
      <c r="A23" s="4" t="s">
        <v>90</v>
      </c>
      <c r="B23" s="4" t="s">
        <v>91</v>
      </c>
      <c r="C23" s="4"/>
      <c r="D23" s="4" t="s">
        <v>92</v>
      </c>
      <c r="E23" s="5">
        <v>46213</v>
      </c>
      <c r="F23" s="5">
        <v>46222</v>
      </c>
      <c r="G23" s="4" t="s">
        <v>93</v>
      </c>
      <c r="H23" s="4"/>
      <c r="I23" s="4"/>
      <c r="J23" s="4"/>
      <c r="K23" s="4" t="s">
        <v>21</v>
      </c>
      <c r="L23" s="4" t="s">
        <v>30</v>
      </c>
      <c r="M23" s="4" t="s">
        <v>17</v>
      </c>
      <c r="N23" s="4"/>
    </row>
    <row r="24" spans="1:14" x14ac:dyDescent="0.25">
      <c r="A24" s="2" t="s">
        <v>94</v>
      </c>
      <c r="B24" s="2" t="s">
        <v>95</v>
      </c>
      <c r="C24" s="2" t="s">
        <v>96</v>
      </c>
      <c r="D24" s="2" t="s">
        <v>97</v>
      </c>
      <c r="E24" s="3">
        <f>MIN(E25,E26,E27,E28,E30,E31,E32)</f>
        <v>46223</v>
      </c>
      <c r="F24" s="3">
        <f>MAX(F25,F26,F27,F28,F30,F31,F32)</f>
        <v>46235</v>
      </c>
      <c r="G24" s="2"/>
      <c r="H24" s="2"/>
      <c r="I24" s="2"/>
      <c r="J24" s="2" t="s">
        <v>98</v>
      </c>
      <c r="K24" s="2"/>
      <c r="L24" s="2"/>
      <c r="M24" s="2" t="s">
        <v>17</v>
      </c>
      <c r="N24" s="2" t="s">
        <v>96</v>
      </c>
    </row>
    <row r="25" spans="1:14" x14ac:dyDescent="0.25">
      <c r="A25" s="4" t="s">
        <v>99</v>
      </c>
      <c r="B25" s="4" t="s">
        <v>100</v>
      </c>
      <c r="C25" s="4" t="s">
        <v>96</v>
      </c>
      <c r="D25" s="4" t="s">
        <v>101</v>
      </c>
      <c r="E25" s="5">
        <v>46223</v>
      </c>
      <c r="F25" s="5">
        <v>46223</v>
      </c>
      <c r="G25" s="4"/>
      <c r="H25" s="4"/>
      <c r="I25" s="4" t="s">
        <v>102</v>
      </c>
      <c r="J25" s="4" t="s">
        <v>103</v>
      </c>
      <c r="K25" s="4"/>
      <c r="L25" s="4" t="s">
        <v>30</v>
      </c>
      <c r="M25" s="4" t="s">
        <v>104</v>
      </c>
      <c r="N25" s="4" t="s">
        <v>96</v>
      </c>
    </row>
    <row r="26" spans="1:14" x14ac:dyDescent="0.25">
      <c r="A26" s="4" t="s">
        <v>105</v>
      </c>
      <c r="B26" s="4" t="s">
        <v>106</v>
      </c>
      <c r="C26" s="4" t="s">
        <v>96</v>
      </c>
      <c r="D26" s="4" t="s">
        <v>107</v>
      </c>
      <c r="E26" s="5">
        <v>46225</v>
      </c>
      <c r="F26" s="5">
        <v>46225</v>
      </c>
      <c r="G26" s="4"/>
      <c r="H26" s="4"/>
      <c r="I26" s="4" t="s">
        <v>108</v>
      </c>
      <c r="J26" s="4" t="s">
        <v>109</v>
      </c>
      <c r="K26" s="4"/>
      <c r="L26" s="4" t="s">
        <v>30</v>
      </c>
      <c r="M26" s="4" t="s">
        <v>104</v>
      </c>
      <c r="N26" s="4" t="s">
        <v>96</v>
      </c>
    </row>
    <row r="27" spans="1:14" x14ac:dyDescent="0.25">
      <c r="A27" s="4" t="s">
        <v>110</v>
      </c>
      <c r="B27" s="4" t="s">
        <v>111</v>
      </c>
      <c r="C27" s="4" t="s">
        <v>96</v>
      </c>
      <c r="D27" s="4" t="s">
        <v>112</v>
      </c>
      <c r="E27" s="5">
        <v>46225</v>
      </c>
      <c r="F27" s="5">
        <v>46225</v>
      </c>
      <c r="G27" s="4"/>
      <c r="H27" s="4"/>
      <c r="I27" s="4" t="s">
        <v>113</v>
      </c>
      <c r="J27" s="4" t="s">
        <v>114</v>
      </c>
      <c r="K27" s="4"/>
      <c r="L27" s="4" t="s">
        <v>30</v>
      </c>
      <c r="M27" s="4" t="s">
        <v>104</v>
      </c>
      <c r="N27" s="4" t="s">
        <v>96</v>
      </c>
    </row>
    <row r="28" spans="1:14" x14ac:dyDescent="0.25">
      <c r="A28" s="4" t="s">
        <v>115</v>
      </c>
      <c r="B28" s="4" t="s">
        <v>116</v>
      </c>
      <c r="C28" s="4" t="s">
        <v>96</v>
      </c>
      <c r="D28" s="4" t="s">
        <v>117</v>
      </c>
      <c r="E28" s="5">
        <v>46234</v>
      </c>
      <c r="F28" s="5">
        <v>46234</v>
      </c>
      <c r="G28" s="4"/>
      <c r="H28" s="4"/>
      <c r="I28" s="4" t="s">
        <v>118</v>
      </c>
      <c r="J28" s="4" t="s">
        <v>119</v>
      </c>
      <c r="K28" s="4"/>
      <c r="L28" s="4" t="s">
        <v>30</v>
      </c>
      <c r="M28" s="4" t="s">
        <v>104</v>
      </c>
      <c r="N28" s="4" t="s">
        <v>96</v>
      </c>
    </row>
    <row r="29" spans="1:14" s="6" customFormat="1" ht="15.6" x14ac:dyDescent="0.25">
      <c r="C29" s="7" t="s">
        <v>96</v>
      </c>
      <c r="D29" s="7" t="s">
        <v>278</v>
      </c>
      <c r="E29" s="8">
        <v>46234</v>
      </c>
      <c r="F29" s="8">
        <v>46234</v>
      </c>
    </row>
    <row r="30" spans="1:14" x14ac:dyDescent="0.25">
      <c r="A30" s="4" t="s">
        <v>120</v>
      </c>
      <c r="B30" s="4" t="s">
        <v>121</v>
      </c>
      <c r="C30" s="4" t="s">
        <v>96</v>
      </c>
      <c r="D30" s="4" t="s">
        <v>122</v>
      </c>
      <c r="E30" s="5">
        <v>46234</v>
      </c>
      <c r="F30" s="5">
        <v>46234</v>
      </c>
      <c r="G30" s="4"/>
      <c r="H30" s="4"/>
      <c r="I30" s="4" t="s">
        <v>123</v>
      </c>
      <c r="J30" s="4" t="s">
        <v>124</v>
      </c>
      <c r="K30" s="4"/>
      <c r="L30" s="4" t="s">
        <v>30</v>
      </c>
      <c r="M30" s="4" t="s">
        <v>104</v>
      </c>
      <c r="N30" s="4" t="s">
        <v>96</v>
      </c>
    </row>
    <row r="31" spans="1:14" x14ac:dyDescent="0.25">
      <c r="A31" s="4" t="s">
        <v>125</v>
      </c>
      <c r="B31" s="4" t="s">
        <v>126</v>
      </c>
      <c r="C31" s="4" t="s">
        <v>96</v>
      </c>
      <c r="D31" s="4" t="s">
        <v>127</v>
      </c>
      <c r="E31" s="5">
        <f>MAX(F30)+1</f>
        <v>46235</v>
      </c>
      <c r="F31" s="5">
        <f>MAX(F30)+1+1-1</f>
        <v>46235</v>
      </c>
      <c r="G31" s="4" t="s">
        <v>49</v>
      </c>
      <c r="H31" s="4" t="s">
        <v>128</v>
      </c>
      <c r="I31" s="4" t="s">
        <v>123</v>
      </c>
      <c r="J31" s="4" t="s">
        <v>124</v>
      </c>
      <c r="K31" s="4"/>
      <c r="L31" s="4" t="s">
        <v>30</v>
      </c>
      <c r="M31" s="4" t="s">
        <v>104</v>
      </c>
      <c r="N31" s="4" t="s">
        <v>96</v>
      </c>
    </row>
    <row r="32" spans="1:14" x14ac:dyDescent="0.25">
      <c r="A32" s="4" t="s">
        <v>129</v>
      </c>
      <c r="B32" s="4" t="s">
        <v>130</v>
      </c>
      <c r="C32" s="4" t="s">
        <v>96</v>
      </c>
      <c r="D32" s="4" t="s">
        <v>131</v>
      </c>
      <c r="E32" s="5">
        <v>46234</v>
      </c>
      <c r="F32" s="5">
        <v>46234</v>
      </c>
      <c r="G32" s="4"/>
      <c r="H32" s="4"/>
      <c r="I32" s="4" t="s">
        <v>132</v>
      </c>
      <c r="J32" s="4" t="s">
        <v>133</v>
      </c>
      <c r="K32" s="4"/>
      <c r="L32" s="4" t="s">
        <v>30</v>
      </c>
      <c r="M32" s="4" t="s">
        <v>104</v>
      </c>
      <c r="N32" s="4" t="s">
        <v>96</v>
      </c>
    </row>
    <row r="33" spans="1:14" x14ac:dyDescent="0.25">
      <c r="A33" s="2" t="s">
        <v>134</v>
      </c>
      <c r="B33" s="2" t="s">
        <v>135</v>
      </c>
      <c r="C33" s="2" t="s">
        <v>96</v>
      </c>
      <c r="D33" s="2" t="s">
        <v>136</v>
      </c>
      <c r="E33" s="3">
        <f>MIN(E35,E36,E37,E38,E39,E40,E41,E42,E43,E44,E45,E49,E50,E51,E34)</f>
        <v>46219</v>
      </c>
      <c r="F33" s="3">
        <f>MAX(F35,F36,F37,F38,F39,F40,F41,F42,F43,F44,F45,F49,F50,F51)</f>
        <v>46255</v>
      </c>
      <c r="G33" s="2"/>
      <c r="H33" s="2"/>
      <c r="I33" s="2"/>
      <c r="J33" s="2" t="s">
        <v>98</v>
      </c>
      <c r="K33" s="2"/>
      <c r="L33" s="2"/>
      <c r="M33" s="2" t="s">
        <v>17</v>
      </c>
      <c r="N33" s="2" t="s">
        <v>96</v>
      </c>
    </row>
    <row r="34" spans="1:14" x14ac:dyDescent="0.25">
      <c r="A34" s="4" t="s">
        <v>137</v>
      </c>
      <c r="B34" s="4" t="s">
        <v>138</v>
      </c>
      <c r="C34" s="4" t="s">
        <v>96</v>
      </c>
      <c r="D34" s="4" t="s">
        <v>139</v>
      </c>
      <c r="E34" s="5">
        <f>MAX(F3)+1</f>
        <v>46219</v>
      </c>
      <c r="F34" s="5">
        <f>MAX(F3)+1+10-1</f>
        <v>46228</v>
      </c>
      <c r="G34" s="4" t="s">
        <v>93</v>
      </c>
      <c r="H34" s="4" t="s">
        <v>20</v>
      </c>
      <c r="I34" s="4"/>
      <c r="J34" s="4"/>
      <c r="K34" s="4"/>
      <c r="L34" s="4" t="s">
        <v>21</v>
      </c>
      <c r="M34" s="4" t="s">
        <v>17</v>
      </c>
      <c r="N34" s="4" t="s">
        <v>96</v>
      </c>
    </row>
    <row r="35" spans="1:14" x14ac:dyDescent="0.25">
      <c r="A35" s="4" t="s">
        <v>140</v>
      </c>
      <c r="B35" s="4" t="s">
        <v>141</v>
      </c>
      <c r="C35" s="4" t="s">
        <v>96</v>
      </c>
      <c r="D35" s="4" t="s">
        <v>142</v>
      </c>
      <c r="E35" s="5">
        <f>MAX(F21,F25,F34)+1</f>
        <v>46229</v>
      </c>
      <c r="F35" s="5">
        <f>MAX(F21,F25,F34)+1+4-1</f>
        <v>46232</v>
      </c>
      <c r="G35" s="4" t="s">
        <v>143</v>
      </c>
      <c r="H35" s="4" t="s">
        <v>144</v>
      </c>
      <c r="I35" s="4" t="s">
        <v>102</v>
      </c>
      <c r="J35" s="4" t="s">
        <v>103</v>
      </c>
      <c r="K35" s="4"/>
      <c r="L35" s="4" t="s">
        <v>30</v>
      </c>
      <c r="M35" s="4" t="s">
        <v>104</v>
      </c>
      <c r="N35" s="4" t="s">
        <v>96</v>
      </c>
    </row>
    <row r="36" spans="1:14" x14ac:dyDescent="0.25">
      <c r="A36" s="4" t="s">
        <v>145</v>
      </c>
      <c r="B36" s="4" t="s">
        <v>146</v>
      </c>
      <c r="C36" s="4" t="s">
        <v>96</v>
      </c>
      <c r="D36" s="4" t="s">
        <v>147</v>
      </c>
      <c r="E36" s="5">
        <f>MAX(F3,F21,F26)+1</f>
        <v>46226</v>
      </c>
      <c r="F36" s="5">
        <f>MAX(F3,F21,F26)+1+2-1</f>
        <v>46227</v>
      </c>
      <c r="G36" s="4" t="s">
        <v>148</v>
      </c>
      <c r="H36" s="4" t="s">
        <v>149</v>
      </c>
      <c r="I36" s="4" t="s">
        <v>108</v>
      </c>
      <c r="J36" s="4" t="s">
        <v>109</v>
      </c>
      <c r="K36" s="4"/>
      <c r="L36" s="4" t="s">
        <v>30</v>
      </c>
      <c r="M36" s="4" t="s">
        <v>17</v>
      </c>
      <c r="N36" s="4" t="s">
        <v>96</v>
      </c>
    </row>
    <row r="37" spans="1:14" x14ac:dyDescent="0.25">
      <c r="A37" s="4" t="s">
        <v>150</v>
      </c>
      <c r="B37" s="4" t="s">
        <v>151</v>
      </c>
      <c r="C37" s="4" t="s">
        <v>96</v>
      </c>
      <c r="D37" s="4" t="s">
        <v>152</v>
      </c>
      <c r="E37" s="5">
        <f>MAX(F36,F35)+1</f>
        <v>46233</v>
      </c>
      <c r="F37" s="5">
        <f>MAX(F36,F35)+1+2-1</f>
        <v>46234</v>
      </c>
      <c r="G37" s="4" t="s">
        <v>148</v>
      </c>
      <c r="H37" s="4" t="s">
        <v>153</v>
      </c>
      <c r="I37" s="4" t="s">
        <v>108</v>
      </c>
      <c r="J37" s="4" t="s">
        <v>109</v>
      </c>
      <c r="K37" s="4"/>
      <c r="L37" s="4" t="s">
        <v>21</v>
      </c>
      <c r="M37" s="4" t="s">
        <v>17</v>
      </c>
      <c r="N37" s="4" t="s">
        <v>96</v>
      </c>
    </row>
    <row r="38" spans="1:14" x14ac:dyDescent="0.25">
      <c r="A38" s="4" t="s">
        <v>154</v>
      </c>
      <c r="B38" s="4" t="s">
        <v>155</v>
      </c>
      <c r="C38" s="4" t="s">
        <v>96</v>
      </c>
      <c r="D38" s="4" t="s">
        <v>290</v>
      </c>
      <c r="E38" s="5">
        <f>MAX(F37)+1</f>
        <v>46235</v>
      </c>
      <c r="F38" s="5">
        <f>MAX(F37)+1+1-1</f>
        <v>46235</v>
      </c>
      <c r="G38" s="4" t="s">
        <v>49</v>
      </c>
      <c r="H38" s="4" t="s">
        <v>152</v>
      </c>
      <c r="I38" s="4" t="s">
        <v>108</v>
      </c>
      <c r="J38" s="4" t="s">
        <v>109</v>
      </c>
      <c r="K38" s="4" t="s">
        <v>21</v>
      </c>
      <c r="L38" s="4" t="s">
        <v>30</v>
      </c>
      <c r="M38" s="4" t="s">
        <v>17</v>
      </c>
      <c r="N38" s="4" t="s">
        <v>96</v>
      </c>
    </row>
    <row r="39" spans="1:14" x14ac:dyDescent="0.25">
      <c r="A39" s="4" t="s">
        <v>156</v>
      </c>
      <c r="B39" s="4" t="s">
        <v>157</v>
      </c>
      <c r="C39" s="4" t="s">
        <v>96</v>
      </c>
      <c r="D39" s="4" t="s">
        <v>158</v>
      </c>
      <c r="E39" s="5">
        <f>MAX(F3,F21,F27)+1</f>
        <v>46226</v>
      </c>
      <c r="F39" s="5">
        <f>MAX(F3,F21,F27)+1+1-1</f>
        <v>46226</v>
      </c>
      <c r="G39" s="4" t="s">
        <v>49</v>
      </c>
      <c r="H39" s="4" t="s">
        <v>159</v>
      </c>
      <c r="I39" s="4" t="s">
        <v>113</v>
      </c>
      <c r="J39" s="4" t="s">
        <v>114</v>
      </c>
      <c r="K39" s="4"/>
      <c r="L39" s="4" t="s">
        <v>30</v>
      </c>
      <c r="M39" s="4" t="s">
        <v>17</v>
      </c>
      <c r="N39" s="4" t="s">
        <v>96</v>
      </c>
    </row>
    <row r="40" spans="1:14" x14ac:dyDescent="0.25">
      <c r="A40" s="4" t="s">
        <v>160</v>
      </c>
      <c r="B40" s="4" t="s">
        <v>161</v>
      </c>
      <c r="C40" s="4" t="s">
        <v>96</v>
      </c>
      <c r="D40" s="4" t="s">
        <v>162</v>
      </c>
      <c r="E40" s="5">
        <f>MAX(F35,F39)+1</f>
        <v>46233</v>
      </c>
      <c r="F40" s="5">
        <f>MAX(F35,F39)+1+2-1</f>
        <v>46234</v>
      </c>
      <c r="G40" s="4" t="s">
        <v>148</v>
      </c>
      <c r="H40" s="4" t="s">
        <v>163</v>
      </c>
      <c r="I40" s="4" t="s">
        <v>113</v>
      </c>
      <c r="J40" s="4" t="s">
        <v>114</v>
      </c>
      <c r="K40" s="4"/>
      <c r="L40" s="4" t="s">
        <v>21</v>
      </c>
      <c r="M40" s="4" t="s">
        <v>17</v>
      </c>
      <c r="N40" s="4" t="s">
        <v>96</v>
      </c>
    </row>
    <row r="41" spans="1:14" x14ac:dyDescent="0.25">
      <c r="A41" s="4" t="s">
        <v>164</v>
      </c>
      <c r="B41" s="4" t="s">
        <v>165</v>
      </c>
      <c r="C41" s="4" t="s">
        <v>96</v>
      </c>
      <c r="D41" s="4" t="s">
        <v>166</v>
      </c>
      <c r="E41" s="5">
        <f>MAX(F40)+1</f>
        <v>46235</v>
      </c>
      <c r="F41" s="5">
        <f>MAX(F40)+1+1-1</f>
        <v>46235</v>
      </c>
      <c r="G41" s="4" t="s">
        <v>49</v>
      </c>
      <c r="H41" s="4" t="s">
        <v>162</v>
      </c>
      <c r="I41" s="4" t="s">
        <v>113</v>
      </c>
      <c r="J41" s="4" t="s">
        <v>114</v>
      </c>
      <c r="K41" s="4" t="s">
        <v>21</v>
      </c>
      <c r="L41" s="4" t="s">
        <v>30</v>
      </c>
      <c r="M41" s="4" t="s">
        <v>17</v>
      </c>
      <c r="N41" s="4" t="s">
        <v>96</v>
      </c>
    </row>
    <row r="42" spans="1:14" x14ac:dyDescent="0.25">
      <c r="A42" s="4" t="s">
        <v>167</v>
      </c>
      <c r="B42" s="4" t="s">
        <v>168</v>
      </c>
      <c r="C42" s="4" t="s">
        <v>96</v>
      </c>
      <c r="D42" s="4" t="s">
        <v>169</v>
      </c>
      <c r="E42" s="5">
        <f>MAX(F21,F28,F34)+1</f>
        <v>46235</v>
      </c>
      <c r="F42" s="5">
        <f>MAX(F21,F28,F34)+1+12-1</f>
        <v>46246</v>
      </c>
      <c r="G42" s="4" t="s">
        <v>170</v>
      </c>
      <c r="H42" s="4" t="s">
        <v>171</v>
      </c>
      <c r="I42" s="4" t="s">
        <v>118</v>
      </c>
      <c r="J42" s="4" t="s">
        <v>119</v>
      </c>
      <c r="K42" s="4"/>
      <c r="L42" s="4" t="s">
        <v>30</v>
      </c>
      <c r="M42" s="4" t="s">
        <v>104</v>
      </c>
      <c r="N42" s="4" t="s">
        <v>96</v>
      </c>
    </row>
    <row r="43" spans="1:14" x14ac:dyDescent="0.25">
      <c r="A43" s="4" t="s">
        <v>172</v>
      </c>
      <c r="B43" s="4" t="s">
        <v>173</v>
      </c>
      <c r="C43" s="4" t="s">
        <v>96</v>
      </c>
      <c r="D43" s="4" t="s">
        <v>174</v>
      </c>
      <c r="E43" s="5">
        <f>MAX(F3,F21,F32)+1</f>
        <v>46235</v>
      </c>
      <c r="F43" s="5">
        <f>MAX(F3,F21,F32)+1+1-1</f>
        <v>46235</v>
      </c>
      <c r="G43" s="4" t="s">
        <v>49</v>
      </c>
      <c r="H43" s="4" t="s">
        <v>175</v>
      </c>
      <c r="I43" s="4" t="s">
        <v>132</v>
      </c>
      <c r="J43" s="4" t="s">
        <v>133</v>
      </c>
      <c r="K43" s="4"/>
      <c r="L43" s="4"/>
      <c r="M43" s="4" t="s">
        <v>22</v>
      </c>
      <c r="N43" s="4" t="s">
        <v>96</v>
      </c>
    </row>
    <row r="44" spans="1:14" x14ac:dyDescent="0.25">
      <c r="A44" s="4" t="s">
        <v>176</v>
      </c>
      <c r="B44" s="4" t="s">
        <v>177</v>
      </c>
      <c r="C44" s="4" t="s">
        <v>96</v>
      </c>
      <c r="D44" s="4" t="s">
        <v>178</v>
      </c>
      <c r="E44" s="5">
        <f>MAX(F43,F35)+1</f>
        <v>46236</v>
      </c>
      <c r="F44" s="5">
        <f>MAX(F43,F35)+1+2-1</f>
        <v>46237</v>
      </c>
      <c r="G44" s="4" t="s">
        <v>148</v>
      </c>
      <c r="H44" s="4" t="s">
        <v>179</v>
      </c>
      <c r="I44" s="4" t="s">
        <v>132</v>
      </c>
      <c r="J44" s="4" t="s">
        <v>133</v>
      </c>
      <c r="K44" s="4"/>
      <c r="L44" s="4" t="s">
        <v>21</v>
      </c>
      <c r="M44" s="4" t="s">
        <v>17</v>
      </c>
      <c r="N44" s="4" t="s">
        <v>96</v>
      </c>
    </row>
    <row r="45" spans="1:14" x14ac:dyDescent="0.25">
      <c r="A45" s="4" t="s">
        <v>180</v>
      </c>
      <c r="B45" s="4" t="s">
        <v>181</v>
      </c>
      <c r="C45" s="4" t="s">
        <v>96</v>
      </c>
      <c r="D45" s="4" t="s">
        <v>182</v>
      </c>
      <c r="E45" s="5">
        <f>MAX(F44)+1</f>
        <v>46238</v>
      </c>
      <c r="F45" s="5">
        <f>MAX(F44)+1+1-1</f>
        <v>46238</v>
      </c>
      <c r="G45" s="4" t="s">
        <v>49</v>
      </c>
      <c r="H45" s="4" t="s">
        <v>178</v>
      </c>
      <c r="I45" s="4" t="s">
        <v>132</v>
      </c>
      <c r="J45" s="4" t="s">
        <v>133</v>
      </c>
      <c r="K45" s="4" t="s">
        <v>21</v>
      </c>
      <c r="L45" s="4" t="s">
        <v>30</v>
      </c>
      <c r="M45" s="4" t="s">
        <v>17</v>
      </c>
      <c r="N45" s="4" t="s">
        <v>96</v>
      </c>
    </row>
    <row r="46" spans="1:14" x14ac:dyDescent="0.25">
      <c r="A46" s="4"/>
      <c r="B46" s="4"/>
      <c r="C46" s="4" t="s">
        <v>96</v>
      </c>
      <c r="D46" s="7" t="s">
        <v>279</v>
      </c>
      <c r="E46" s="8">
        <v>46236</v>
      </c>
      <c r="F46" s="8">
        <v>46236</v>
      </c>
      <c r="G46" s="7" t="s">
        <v>49</v>
      </c>
      <c r="H46" s="7"/>
      <c r="I46" s="4">
        <v>5</v>
      </c>
      <c r="J46" s="4"/>
      <c r="K46" s="4"/>
      <c r="L46" s="4" t="s">
        <v>30</v>
      </c>
      <c r="M46" s="4" t="s">
        <v>17</v>
      </c>
      <c r="N46" s="4"/>
    </row>
    <row r="47" spans="1:14" x14ac:dyDescent="0.25">
      <c r="A47" s="4"/>
      <c r="B47" s="4"/>
      <c r="C47" s="4" t="s">
        <v>96</v>
      </c>
      <c r="D47" s="7" t="s">
        <v>280</v>
      </c>
      <c r="E47" s="8">
        <v>46247</v>
      </c>
      <c r="F47" s="8">
        <v>46248</v>
      </c>
      <c r="G47" s="7" t="s">
        <v>148</v>
      </c>
      <c r="H47" s="7"/>
      <c r="I47" s="4">
        <v>5</v>
      </c>
      <c r="J47" s="4"/>
      <c r="K47" s="4"/>
      <c r="L47" s="4" t="s">
        <v>21</v>
      </c>
      <c r="M47" s="4" t="s">
        <v>17</v>
      </c>
      <c r="N47" s="4"/>
    </row>
    <row r="48" spans="1:14" x14ac:dyDescent="0.25">
      <c r="A48" s="4"/>
      <c r="B48" s="4"/>
      <c r="C48" s="4" t="s">
        <v>96</v>
      </c>
      <c r="D48" s="7" t="s">
        <v>281</v>
      </c>
      <c r="E48" s="8">
        <v>46249</v>
      </c>
      <c r="F48" s="8">
        <v>46255</v>
      </c>
      <c r="G48" s="7" t="s">
        <v>193</v>
      </c>
      <c r="H48" s="7"/>
      <c r="I48" s="4">
        <v>5</v>
      </c>
      <c r="J48" s="4"/>
      <c r="K48" s="4" t="s">
        <v>21</v>
      </c>
      <c r="L48" s="4" t="s">
        <v>30</v>
      </c>
      <c r="M48" s="4" t="s">
        <v>17</v>
      </c>
      <c r="N48" s="4"/>
    </row>
    <row r="49" spans="1:14" x14ac:dyDescent="0.25">
      <c r="A49" s="4" t="s">
        <v>183</v>
      </c>
      <c r="B49" s="4" t="s">
        <v>184</v>
      </c>
      <c r="C49" s="4" t="s">
        <v>96</v>
      </c>
      <c r="D49" s="4" t="s">
        <v>185</v>
      </c>
      <c r="E49" s="5">
        <f>MAX(F3,F21,F31)+1</f>
        <v>46236</v>
      </c>
      <c r="F49" s="5">
        <f>MAX(F3,F21,F31)+1+1-1</f>
        <v>46236</v>
      </c>
      <c r="G49" s="4" t="s">
        <v>49</v>
      </c>
      <c r="H49" s="4" t="s">
        <v>186</v>
      </c>
      <c r="I49" s="4" t="s">
        <v>123</v>
      </c>
      <c r="J49" s="4" t="s">
        <v>124</v>
      </c>
      <c r="K49" s="4"/>
      <c r="L49" s="4" t="s">
        <v>30</v>
      </c>
      <c r="M49" s="4" t="s">
        <v>17</v>
      </c>
      <c r="N49" s="4" t="s">
        <v>96</v>
      </c>
    </row>
    <row r="50" spans="1:14" x14ac:dyDescent="0.25">
      <c r="A50" s="4" t="s">
        <v>187</v>
      </c>
      <c r="B50" s="4" t="s">
        <v>188</v>
      </c>
      <c r="C50" s="4" t="s">
        <v>96</v>
      </c>
      <c r="D50" s="4" t="s">
        <v>189</v>
      </c>
      <c r="E50" s="5">
        <f>MAX(F49,F42)+1</f>
        <v>46247</v>
      </c>
      <c r="F50" s="5">
        <f>MAX(F49,F42)+1+2-1</f>
        <v>46248</v>
      </c>
      <c r="G50" s="4" t="s">
        <v>148</v>
      </c>
      <c r="H50" s="4" t="s">
        <v>292</v>
      </c>
      <c r="I50" s="4" t="s">
        <v>123</v>
      </c>
      <c r="J50" s="4" t="s">
        <v>124</v>
      </c>
      <c r="K50" s="4"/>
      <c r="L50" s="4" t="s">
        <v>21</v>
      </c>
      <c r="M50" s="4" t="s">
        <v>17</v>
      </c>
      <c r="N50" s="4" t="s">
        <v>96</v>
      </c>
    </row>
    <row r="51" spans="1:14" x14ac:dyDescent="0.25">
      <c r="A51" s="4" t="s">
        <v>190</v>
      </c>
      <c r="B51" s="4" t="s">
        <v>191</v>
      </c>
      <c r="C51" s="4" t="s">
        <v>96</v>
      </c>
      <c r="D51" s="4" t="s">
        <v>192</v>
      </c>
      <c r="E51" s="5">
        <f>MAX(F50)+1</f>
        <v>46249</v>
      </c>
      <c r="F51" s="5">
        <f>MAX(F50)+1+7-1</f>
        <v>46255</v>
      </c>
      <c r="G51" s="4" t="s">
        <v>193</v>
      </c>
      <c r="H51" s="4" t="s">
        <v>189</v>
      </c>
      <c r="I51" s="4" t="s">
        <v>123</v>
      </c>
      <c r="J51" s="4" t="s">
        <v>124</v>
      </c>
      <c r="K51" s="4" t="s">
        <v>21</v>
      </c>
      <c r="L51" s="4" t="s">
        <v>30</v>
      </c>
      <c r="M51" s="4" t="s">
        <v>17</v>
      </c>
      <c r="N51" s="4" t="s">
        <v>96</v>
      </c>
    </row>
    <row r="52" spans="1:14" x14ac:dyDescent="0.25">
      <c r="A52" s="2" t="s">
        <v>194</v>
      </c>
      <c r="B52" s="2" t="s">
        <v>195</v>
      </c>
      <c r="C52" s="2" t="s">
        <v>96</v>
      </c>
      <c r="D52" s="2" t="s">
        <v>196</v>
      </c>
      <c r="E52" s="3">
        <f>MIN(E53,E54,E55,E56,E57,E59,E61,E62,E63,E64,E65,E66)</f>
        <v>46235</v>
      </c>
      <c r="F52" s="3">
        <f>MAX(F53,F54,F55,F56,F57,F59,F61,F62,F63,F64,F65,F66)</f>
        <v>46258</v>
      </c>
      <c r="G52" s="2"/>
      <c r="H52" s="2"/>
      <c r="I52" s="2"/>
      <c r="J52" s="2" t="s">
        <v>197</v>
      </c>
      <c r="K52" s="2"/>
      <c r="L52" s="2"/>
      <c r="M52" s="2" t="s">
        <v>17</v>
      </c>
      <c r="N52" s="2" t="s">
        <v>96</v>
      </c>
    </row>
    <row r="53" spans="1:14" x14ac:dyDescent="0.25">
      <c r="A53" s="4" t="s">
        <v>198</v>
      </c>
      <c r="B53" s="4" t="s">
        <v>199</v>
      </c>
      <c r="C53" s="4" t="s">
        <v>96</v>
      </c>
      <c r="D53" s="4" t="s">
        <v>200</v>
      </c>
      <c r="E53" s="5">
        <f>MAX(F37)+1</f>
        <v>46235</v>
      </c>
      <c r="F53" s="5">
        <f>MAX(F37)+1+2-1</f>
        <v>46236</v>
      </c>
      <c r="G53" s="4" t="s">
        <v>148</v>
      </c>
      <c r="H53" s="4" t="s">
        <v>152</v>
      </c>
      <c r="I53" s="4" t="s">
        <v>108</v>
      </c>
      <c r="J53" s="4" t="s">
        <v>109</v>
      </c>
      <c r="K53" s="4"/>
      <c r="L53" s="4" t="s">
        <v>30</v>
      </c>
      <c r="M53" s="4" t="s">
        <v>17</v>
      </c>
      <c r="N53" s="4" t="s">
        <v>96</v>
      </c>
    </row>
    <row r="54" spans="1:14" x14ac:dyDescent="0.25">
      <c r="A54" s="4" t="s">
        <v>201</v>
      </c>
      <c r="B54" s="4" t="s">
        <v>202</v>
      </c>
      <c r="C54" s="4" t="s">
        <v>96</v>
      </c>
      <c r="D54" s="4" t="s">
        <v>203</v>
      </c>
      <c r="E54" s="5">
        <f>MAX(F53)+1</f>
        <v>46237</v>
      </c>
      <c r="F54" s="5">
        <f>MAX(F53)+1+5-1</f>
        <v>46241</v>
      </c>
      <c r="G54" s="4" t="s">
        <v>38</v>
      </c>
      <c r="H54" s="4" t="s">
        <v>200</v>
      </c>
      <c r="I54" s="4" t="s">
        <v>108</v>
      </c>
      <c r="J54" s="4" t="s">
        <v>109</v>
      </c>
      <c r="K54" s="4" t="s">
        <v>30</v>
      </c>
      <c r="L54" s="4" t="s">
        <v>21</v>
      </c>
      <c r="M54" s="4" t="s">
        <v>17</v>
      </c>
      <c r="N54" s="4" t="s">
        <v>96</v>
      </c>
    </row>
    <row r="55" spans="1:14" x14ac:dyDescent="0.25">
      <c r="A55" s="4" t="s">
        <v>204</v>
      </c>
      <c r="B55" s="4" t="s">
        <v>205</v>
      </c>
      <c r="C55" s="4" t="s">
        <v>96</v>
      </c>
      <c r="D55" s="4" t="s">
        <v>206</v>
      </c>
      <c r="E55" s="5">
        <f>MAX(F54)+1</f>
        <v>46242</v>
      </c>
      <c r="F55" s="5">
        <f>MAX(F54)+1+3-1</f>
        <v>46244</v>
      </c>
      <c r="G55" s="4" t="s">
        <v>29</v>
      </c>
      <c r="H55" s="4" t="s">
        <v>203</v>
      </c>
      <c r="I55" s="4" t="s">
        <v>108</v>
      </c>
      <c r="J55" s="4" t="s">
        <v>109</v>
      </c>
      <c r="K55" s="4" t="s">
        <v>21</v>
      </c>
      <c r="L55" s="4" t="s">
        <v>30</v>
      </c>
      <c r="M55" s="4" t="s">
        <v>17</v>
      </c>
      <c r="N55" s="4" t="s">
        <v>96</v>
      </c>
    </row>
    <row r="56" spans="1:14" x14ac:dyDescent="0.25">
      <c r="A56" s="4" t="s">
        <v>207</v>
      </c>
      <c r="B56" s="4" t="s">
        <v>208</v>
      </c>
      <c r="C56" s="4" t="s">
        <v>96</v>
      </c>
      <c r="D56" s="4" t="s">
        <v>209</v>
      </c>
      <c r="E56" s="5">
        <f>MAX(F40)+1</f>
        <v>46235</v>
      </c>
      <c r="F56" s="5">
        <f>MAX(F40)+1+2-1</f>
        <v>46236</v>
      </c>
      <c r="G56" s="4" t="s">
        <v>148</v>
      </c>
      <c r="H56" s="4" t="s">
        <v>162</v>
      </c>
      <c r="I56" s="4" t="s">
        <v>113</v>
      </c>
      <c r="J56" s="4" t="s">
        <v>114</v>
      </c>
      <c r="K56" s="4"/>
      <c r="L56" s="4" t="s">
        <v>30</v>
      </c>
      <c r="M56" s="4" t="s">
        <v>17</v>
      </c>
      <c r="N56" s="4" t="s">
        <v>96</v>
      </c>
    </row>
    <row r="57" spans="1:14" x14ac:dyDescent="0.25">
      <c r="A57" s="4" t="s">
        <v>210</v>
      </c>
      <c r="B57" s="4" t="s">
        <v>211</v>
      </c>
      <c r="C57" s="4" t="s">
        <v>96</v>
      </c>
      <c r="D57" s="4" t="s">
        <v>287</v>
      </c>
      <c r="E57" s="5">
        <f>MAX(F56)+1</f>
        <v>46237</v>
      </c>
      <c r="F57" s="5">
        <f>MAX(F56)+1+5-1</f>
        <v>46241</v>
      </c>
      <c r="G57" s="4" t="s">
        <v>38</v>
      </c>
      <c r="H57" s="4" t="s">
        <v>209</v>
      </c>
      <c r="I57" s="4" t="s">
        <v>113</v>
      </c>
      <c r="J57" s="4" t="s">
        <v>114</v>
      </c>
      <c r="K57" s="4" t="s">
        <v>30</v>
      </c>
      <c r="L57" s="4" t="s">
        <v>21</v>
      </c>
      <c r="M57" s="4" t="s">
        <v>17</v>
      </c>
      <c r="N57" s="4" t="s">
        <v>96</v>
      </c>
    </row>
    <row r="58" spans="1:14" x14ac:dyDescent="0.25">
      <c r="A58" s="4"/>
      <c r="B58" s="4"/>
      <c r="C58" s="4" t="s">
        <v>96</v>
      </c>
      <c r="D58" s="7" t="s">
        <v>288</v>
      </c>
      <c r="E58" s="5">
        <f>MAX(E57)+1+5-1</f>
        <v>46242</v>
      </c>
      <c r="F58" s="5">
        <f>MAX(F57)+1+2-1</f>
        <v>46243</v>
      </c>
      <c r="G58" s="4" t="s">
        <v>289</v>
      </c>
      <c r="H58" s="4" t="s">
        <v>287</v>
      </c>
      <c r="I58" s="4"/>
      <c r="J58" s="4"/>
      <c r="K58" s="4"/>
      <c r="L58" s="4"/>
      <c r="M58" s="4" t="s">
        <v>17</v>
      </c>
      <c r="N58" s="4"/>
    </row>
    <row r="59" spans="1:14" x14ac:dyDescent="0.25">
      <c r="A59" s="4" t="s">
        <v>212</v>
      </c>
      <c r="B59" s="4" t="s">
        <v>213</v>
      </c>
      <c r="C59" s="4" t="s">
        <v>96</v>
      </c>
      <c r="D59" s="4" t="s">
        <v>214</v>
      </c>
      <c r="E59" s="5">
        <f>MAX(F44)+1</f>
        <v>46238</v>
      </c>
      <c r="F59" s="5">
        <f>MAX(F44)+1+2-1</f>
        <v>46239</v>
      </c>
      <c r="G59" s="4" t="s">
        <v>148</v>
      </c>
      <c r="H59" s="4" t="s">
        <v>178</v>
      </c>
      <c r="I59" s="4" t="s">
        <v>132</v>
      </c>
      <c r="J59" s="4" t="s">
        <v>133</v>
      </c>
      <c r="K59" s="4"/>
      <c r="L59" s="4" t="s">
        <v>30</v>
      </c>
      <c r="M59" s="4" t="s">
        <v>17</v>
      </c>
      <c r="N59" s="4" t="s">
        <v>96</v>
      </c>
    </row>
    <row r="60" spans="1:14" s="9" customFormat="1" x14ac:dyDescent="0.25">
      <c r="A60" s="7"/>
      <c r="B60" s="7"/>
      <c r="C60" s="4" t="s">
        <v>96</v>
      </c>
      <c r="D60" s="7" t="s">
        <v>282</v>
      </c>
      <c r="E60" s="8">
        <f>MAX(F47)+1</f>
        <v>46249</v>
      </c>
      <c r="F60" s="8">
        <f>MAX(F47)+1+2-1</f>
        <v>46250</v>
      </c>
      <c r="G60" s="7" t="s">
        <v>148</v>
      </c>
      <c r="H60" s="7"/>
      <c r="I60" s="7"/>
      <c r="J60" s="7"/>
      <c r="K60" s="4"/>
      <c r="L60" s="4" t="s">
        <v>30</v>
      </c>
      <c r="M60" s="4" t="s">
        <v>17</v>
      </c>
      <c r="N60" s="7"/>
    </row>
    <row r="61" spans="1:14" x14ac:dyDescent="0.25">
      <c r="A61" s="4" t="s">
        <v>215</v>
      </c>
      <c r="B61" s="4" t="s">
        <v>216</v>
      </c>
      <c r="C61" s="4" t="s">
        <v>96</v>
      </c>
      <c r="D61" s="4" t="s">
        <v>217</v>
      </c>
      <c r="E61" s="5">
        <f>MAX(F59)+1</f>
        <v>46240</v>
      </c>
      <c r="F61" s="5">
        <f>MAX(F59)+1+5-1</f>
        <v>46244</v>
      </c>
      <c r="G61" s="4" t="s">
        <v>38</v>
      </c>
      <c r="H61" s="4" t="s">
        <v>214</v>
      </c>
      <c r="I61" s="4" t="s">
        <v>132</v>
      </c>
      <c r="J61" s="4" t="s">
        <v>133</v>
      </c>
      <c r="K61" s="4" t="s">
        <v>30</v>
      </c>
      <c r="L61" s="4" t="s">
        <v>21</v>
      </c>
      <c r="M61" s="4" t="s">
        <v>17</v>
      </c>
      <c r="N61" s="4" t="s">
        <v>96</v>
      </c>
    </row>
    <row r="62" spans="1:14" x14ac:dyDescent="0.25">
      <c r="A62" s="4" t="s">
        <v>218</v>
      </c>
      <c r="B62" s="4" t="s">
        <v>219</v>
      </c>
      <c r="C62" s="4" t="s">
        <v>96</v>
      </c>
      <c r="D62" s="4" t="s">
        <v>220</v>
      </c>
      <c r="E62" s="5">
        <f>MAX(F61)+1</f>
        <v>46245</v>
      </c>
      <c r="F62" s="5">
        <f>MAX(F61)+1+3-1</f>
        <v>46247</v>
      </c>
      <c r="G62" s="4" t="s">
        <v>29</v>
      </c>
      <c r="H62" s="4" t="s">
        <v>217</v>
      </c>
      <c r="I62" s="4" t="s">
        <v>132</v>
      </c>
      <c r="J62" s="4" t="s">
        <v>133</v>
      </c>
      <c r="K62" s="4" t="s">
        <v>21</v>
      </c>
      <c r="L62" s="4" t="s">
        <v>30</v>
      </c>
      <c r="M62" s="4" t="s">
        <v>17</v>
      </c>
      <c r="N62" s="4" t="s">
        <v>96</v>
      </c>
    </row>
    <row r="63" spans="1:14" x14ac:dyDescent="0.25">
      <c r="A63" s="4" t="s">
        <v>221</v>
      </c>
      <c r="B63" s="4" t="s">
        <v>222</v>
      </c>
      <c r="C63" s="4" t="s">
        <v>96</v>
      </c>
      <c r="D63" s="4" t="s">
        <v>223</v>
      </c>
      <c r="E63" s="5">
        <f>MAX(F50)+1</f>
        <v>46249</v>
      </c>
      <c r="F63" s="5">
        <f>MAX(F50)+1+2-1</f>
        <v>46250</v>
      </c>
      <c r="G63" s="4" t="s">
        <v>148</v>
      </c>
      <c r="H63" s="4" t="s">
        <v>291</v>
      </c>
      <c r="I63" s="4" t="s">
        <v>123</v>
      </c>
      <c r="J63" s="4" t="s">
        <v>124</v>
      </c>
      <c r="K63" s="4"/>
      <c r="L63" s="4" t="s">
        <v>30</v>
      </c>
      <c r="M63" s="4" t="s">
        <v>17</v>
      </c>
      <c r="N63" s="4" t="s">
        <v>96</v>
      </c>
    </row>
    <row r="64" spans="1:14" x14ac:dyDescent="0.25">
      <c r="A64" s="4" t="s">
        <v>224</v>
      </c>
      <c r="B64" s="4" t="s">
        <v>225</v>
      </c>
      <c r="C64" s="4" t="s">
        <v>96</v>
      </c>
      <c r="D64" s="4" t="s">
        <v>226</v>
      </c>
      <c r="E64" s="5">
        <f>MAX(F63)+1</f>
        <v>46251</v>
      </c>
      <c r="F64" s="5">
        <f>MAX(F63)+1+5-1</f>
        <v>46255</v>
      </c>
      <c r="G64" s="4" t="s">
        <v>38</v>
      </c>
      <c r="H64" s="4" t="s">
        <v>223</v>
      </c>
      <c r="I64" s="4" t="s">
        <v>123</v>
      </c>
      <c r="J64" s="4" t="s">
        <v>124</v>
      </c>
      <c r="K64" s="4"/>
      <c r="L64" s="4" t="s">
        <v>30</v>
      </c>
      <c r="M64" s="4" t="s">
        <v>17</v>
      </c>
      <c r="N64" s="4" t="s">
        <v>96</v>
      </c>
    </row>
    <row r="65" spans="1:14" x14ac:dyDescent="0.25">
      <c r="A65" s="4" t="s">
        <v>227</v>
      </c>
      <c r="B65" s="4" t="s">
        <v>228</v>
      </c>
      <c r="C65" s="4" t="s">
        <v>96</v>
      </c>
      <c r="D65" s="4" t="s">
        <v>229</v>
      </c>
      <c r="E65" s="5">
        <f>MAX(F63)+1</f>
        <v>46251</v>
      </c>
      <c r="F65" s="5">
        <f>MAX(F63)+1+5-1</f>
        <v>46255</v>
      </c>
      <c r="G65" s="4" t="s">
        <v>38</v>
      </c>
      <c r="H65" s="4" t="s">
        <v>223</v>
      </c>
      <c r="I65" s="4" t="s">
        <v>123</v>
      </c>
      <c r="J65" s="4" t="s">
        <v>124</v>
      </c>
      <c r="K65" s="4" t="s">
        <v>30</v>
      </c>
      <c r="L65" s="4" t="s">
        <v>21</v>
      </c>
      <c r="M65" s="4" t="s">
        <v>17</v>
      </c>
      <c r="N65" s="4" t="s">
        <v>96</v>
      </c>
    </row>
    <row r="66" spans="1:14" x14ac:dyDescent="0.25">
      <c r="A66" s="4" t="s">
        <v>230</v>
      </c>
      <c r="B66" s="4" t="s">
        <v>231</v>
      </c>
      <c r="C66" s="4" t="s">
        <v>96</v>
      </c>
      <c r="D66" s="4" t="s">
        <v>232</v>
      </c>
      <c r="E66" s="5">
        <f>MAX(F65)+1</f>
        <v>46256</v>
      </c>
      <c r="F66" s="5">
        <f>MAX(F65)+1+3-1</f>
        <v>46258</v>
      </c>
      <c r="G66" s="4" t="s">
        <v>29</v>
      </c>
      <c r="H66" s="4" t="s">
        <v>229</v>
      </c>
      <c r="I66" s="4" t="s">
        <v>123</v>
      </c>
      <c r="J66" s="4" t="s">
        <v>124</v>
      </c>
      <c r="K66" s="4" t="s">
        <v>21</v>
      </c>
      <c r="L66" s="4" t="s">
        <v>30</v>
      </c>
      <c r="M66" s="4" t="s">
        <v>17</v>
      </c>
      <c r="N66" s="4" t="s">
        <v>96</v>
      </c>
    </row>
    <row r="67" spans="1:14" s="9" customFormat="1" x14ac:dyDescent="0.25">
      <c r="A67" s="7"/>
      <c r="B67" s="7"/>
      <c r="C67" s="7" t="s">
        <v>96</v>
      </c>
      <c r="D67" s="7" t="s">
        <v>283</v>
      </c>
      <c r="E67" s="8">
        <f>MAX(F60)+1</f>
        <v>46251</v>
      </c>
      <c r="F67" s="8">
        <f>MAX(F65)+1+5-1</f>
        <v>46260</v>
      </c>
      <c r="G67" s="7" t="s">
        <v>38</v>
      </c>
      <c r="H67" s="11" t="s">
        <v>282</v>
      </c>
      <c r="I67" s="7"/>
      <c r="J67" s="7"/>
      <c r="K67" s="4" t="s">
        <v>21</v>
      </c>
      <c r="L67" s="4" t="s">
        <v>30</v>
      </c>
      <c r="M67" s="4" t="s">
        <v>17</v>
      </c>
      <c r="N67" s="7"/>
    </row>
    <row r="68" spans="1:14" s="9" customFormat="1" x14ac:dyDescent="0.25">
      <c r="A68" s="7"/>
      <c r="B68" s="7"/>
      <c r="C68" s="7" t="s">
        <v>96</v>
      </c>
      <c r="D68" s="7" t="s">
        <v>284</v>
      </c>
      <c r="E68" s="8">
        <f>MAX(F67)+1</f>
        <v>46261</v>
      </c>
      <c r="F68" s="8">
        <f>MAX(F67)+1+3-1</f>
        <v>46263</v>
      </c>
      <c r="G68" s="7" t="s">
        <v>29</v>
      </c>
      <c r="H68" s="11" t="s">
        <v>283</v>
      </c>
      <c r="I68" s="7"/>
      <c r="J68" s="7"/>
      <c r="K68" s="4" t="s">
        <v>21</v>
      </c>
      <c r="L68" s="4" t="s">
        <v>30</v>
      </c>
      <c r="M68" s="4" t="s">
        <v>17</v>
      </c>
      <c r="N68" s="7"/>
    </row>
    <row r="69" spans="1:14" x14ac:dyDescent="0.25">
      <c r="A69" s="4" t="s">
        <v>233</v>
      </c>
      <c r="B69" s="4" t="s">
        <v>234</v>
      </c>
      <c r="C69" s="4" t="s">
        <v>96</v>
      </c>
      <c r="D69" s="4" t="s">
        <v>235</v>
      </c>
      <c r="E69" s="5">
        <f>MAX(F54)+1</f>
        <v>46242</v>
      </c>
      <c r="F69" s="5">
        <f>MAX(F54)+1+2-1</f>
        <v>46243</v>
      </c>
      <c r="G69" s="4" t="s">
        <v>148</v>
      </c>
      <c r="H69" s="4" t="s">
        <v>203</v>
      </c>
      <c r="I69" s="4" t="s">
        <v>108</v>
      </c>
      <c r="J69" s="4" t="s">
        <v>109</v>
      </c>
      <c r="K69" s="4" t="s">
        <v>30</v>
      </c>
      <c r="L69" s="4"/>
      <c r="M69" s="4" t="s">
        <v>17</v>
      </c>
      <c r="N69" s="4" t="s">
        <v>96</v>
      </c>
    </row>
    <row r="70" spans="1:14" x14ac:dyDescent="0.25">
      <c r="A70" s="4" t="s">
        <v>236</v>
      </c>
      <c r="B70" s="4" t="s">
        <v>237</v>
      </c>
      <c r="C70" s="4" t="s">
        <v>96</v>
      </c>
      <c r="D70" s="4" t="s">
        <v>238</v>
      </c>
      <c r="E70" s="5">
        <f>MAX(F61)+1</f>
        <v>46245</v>
      </c>
      <c r="F70" s="5">
        <f>MAX(F61)+1+2-1</f>
        <v>46246</v>
      </c>
      <c r="G70" s="4" t="s">
        <v>148</v>
      </c>
      <c r="H70" s="4" t="s">
        <v>217</v>
      </c>
      <c r="I70" s="4" t="s">
        <v>132</v>
      </c>
      <c r="J70" s="4" t="s">
        <v>133</v>
      </c>
      <c r="K70" s="4" t="s">
        <v>30</v>
      </c>
      <c r="L70" s="4"/>
      <c r="M70" s="4" t="s">
        <v>17</v>
      </c>
      <c r="N70" s="4" t="s">
        <v>96</v>
      </c>
    </row>
    <row r="71" spans="1:14" x14ac:dyDescent="0.25">
      <c r="A71" s="4" t="s">
        <v>239</v>
      </c>
      <c r="B71" s="4" t="s">
        <v>240</v>
      </c>
      <c r="C71" s="4" t="s">
        <v>96</v>
      </c>
      <c r="D71" s="4" t="s">
        <v>241</v>
      </c>
      <c r="E71" s="5">
        <f>MAX(F65)+1</f>
        <v>46256</v>
      </c>
      <c r="F71" s="5">
        <f>MAX(F65)+1+2-1</f>
        <v>46257</v>
      </c>
      <c r="G71" s="4" t="s">
        <v>148</v>
      </c>
      <c r="H71" s="4" t="s">
        <v>229</v>
      </c>
      <c r="I71" s="4" t="s">
        <v>123</v>
      </c>
      <c r="J71" s="4" t="s">
        <v>124</v>
      </c>
      <c r="K71" s="4" t="s">
        <v>30</v>
      </c>
      <c r="L71" s="4"/>
      <c r="M71" s="4" t="s">
        <v>17</v>
      </c>
      <c r="N71" s="4" t="s">
        <v>96</v>
      </c>
    </row>
    <row r="72" spans="1:14" x14ac:dyDescent="0.25">
      <c r="A72" s="2" t="s">
        <v>242</v>
      </c>
      <c r="B72" s="2" t="s">
        <v>243</v>
      </c>
      <c r="C72" s="2" t="s">
        <v>96</v>
      </c>
      <c r="D72" s="2" t="s">
        <v>244</v>
      </c>
      <c r="E72" s="3">
        <f>MIN(E73,E74,E75,E76,E77)</f>
        <v>46256</v>
      </c>
      <c r="F72" s="3">
        <f>MAX(F73,F74,F75,F76,F77)</f>
        <v>46272</v>
      </c>
      <c r="G72" s="2"/>
      <c r="H72" s="2"/>
      <c r="I72" s="2"/>
      <c r="J72" s="2"/>
      <c r="K72" s="2"/>
      <c r="L72" s="2"/>
      <c r="M72" s="2" t="s">
        <v>17</v>
      </c>
      <c r="N72" s="2" t="s">
        <v>96</v>
      </c>
    </row>
    <row r="73" spans="1:14" x14ac:dyDescent="0.25">
      <c r="A73" s="4" t="s">
        <v>245</v>
      </c>
      <c r="B73" s="4" t="s">
        <v>246</v>
      </c>
      <c r="C73" s="4" t="s">
        <v>96</v>
      </c>
      <c r="D73" s="4" t="s">
        <v>247</v>
      </c>
      <c r="E73" s="5">
        <f>MAX(F61,F54,F65,F57)+1</f>
        <v>46256</v>
      </c>
      <c r="F73" s="5">
        <f>MAX(F61,F54,F65,F57)+1+3-1</f>
        <v>46258</v>
      </c>
      <c r="G73" s="4" t="s">
        <v>29</v>
      </c>
      <c r="H73" s="4" t="s">
        <v>248</v>
      </c>
      <c r="I73" s="4"/>
      <c r="J73" s="4"/>
      <c r="K73" s="4" t="s">
        <v>30</v>
      </c>
      <c r="L73" s="4" t="s">
        <v>21</v>
      </c>
      <c r="M73" s="4" t="s">
        <v>17</v>
      </c>
      <c r="N73" s="4" t="s">
        <v>96</v>
      </c>
    </row>
    <row r="74" spans="1:14" x14ac:dyDescent="0.25">
      <c r="A74" s="4" t="s">
        <v>249</v>
      </c>
      <c r="B74" s="4" t="s">
        <v>250</v>
      </c>
      <c r="C74" s="4" t="s">
        <v>96</v>
      </c>
      <c r="D74" s="4" t="s">
        <v>251</v>
      </c>
      <c r="E74" s="5">
        <f>MAX(F73)+1</f>
        <v>46259</v>
      </c>
      <c r="F74" s="5">
        <f>MAX(F73)+1+4-1</f>
        <v>46262</v>
      </c>
      <c r="G74" s="4" t="s">
        <v>143</v>
      </c>
      <c r="H74" s="4" t="s">
        <v>247</v>
      </c>
      <c r="I74" s="4"/>
      <c r="J74" s="4"/>
      <c r="K74" s="4" t="s">
        <v>21</v>
      </c>
      <c r="L74" s="4" t="s">
        <v>30</v>
      </c>
      <c r="M74" s="4" t="s">
        <v>17</v>
      </c>
      <c r="N74" s="4" t="s">
        <v>96</v>
      </c>
    </row>
    <row r="75" spans="1:14" x14ac:dyDescent="0.25">
      <c r="A75" s="4" t="s">
        <v>252</v>
      </c>
      <c r="B75" s="4" t="s">
        <v>253</v>
      </c>
      <c r="C75" s="4" t="s">
        <v>96</v>
      </c>
      <c r="D75" s="4" t="s">
        <v>254</v>
      </c>
      <c r="E75" s="5">
        <f>MAX(F77)+1</f>
        <v>46270</v>
      </c>
      <c r="F75" s="5">
        <f>MAX(F77)+1+3-1</f>
        <v>46272</v>
      </c>
      <c r="G75" s="4" t="s">
        <v>29</v>
      </c>
      <c r="H75" s="4" t="s">
        <v>255</v>
      </c>
      <c r="I75" s="4"/>
      <c r="J75" s="4"/>
      <c r="K75" s="4" t="s">
        <v>30</v>
      </c>
      <c r="L75" s="4" t="s">
        <v>21</v>
      </c>
      <c r="M75" s="4" t="s">
        <v>17</v>
      </c>
      <c r="N75" s="4" t="s">
        <v>96</v>
      </c>
    </row>
    <row r="76" spans="1:14" x14ac:dyDescent="0.25">
      <c r="A76" s="4" t="s">
        <v>256</v>
      </c>
      <c r="B76" s="4" t="s">
        <v>257</v>
      </c>
      <c r="C76" s="4" t="s">
        <v>96</v>
      </c>
      <c r="D76" s="4" t="s">
        <v>258</v>
      </c>
      <c r="E76" s="5">
        <f>MAX(F66,F62,F55,F74)+1</f>
        <v>46263</v>
      </c>
      <c r="F76" s="5">
        <f>MAX(F66,F62,F55,F74)+1+2-1</f>
        <v>46264</v>
      </c>
      <c r="G76" s="4" t="s">
        <v>148</v>
      </c>
      <c r="H76" s="4" t="s">
        <v>259</v>
      </c>
      <c r="I76" s="4"/>
      <c r="J76" s="4" t="s">
        <v>260</v>
      </c>
      <c r="K76" s="4" t="s">
        <v>30</v>
      </c>
      <c r="L76" s="4" t="s">
        <v>21</v>
      </c>
      <c r="M76" s="4" t="s">
        <v>17</v>
      </c>
      <c r="N76" s="4" t="s">
        <v>96</v>
      </c>
    </row>
    <row r="77" spans="1:14" x14ac:dyDescent="0.25">
      <c r="A77" s="4" t="s">
        <v>261</v>
      </c>
      <c r="B77" s="4" t="s">
        <v>262</v>
      </c>
      <c r="C77" s="4" t="s">
        <v>96</v>
      </c>
      <c r="D77" s="4" t="s">
        <v>255</v>
      </c>
      <c r="E77" s="5">
        <f>MAX(F76)+1</f>
        <v>46265</v>
      </c>
      <c r="F77" s="5">
        <f>MAX(F76)+1+5-1</f>
        <v>46269</v>
      </c>
      <c r="G77" s="4" t="s">
        <v>38</v>
      </c>
      <c r="H77" s="4" t="s">
        <v>258</v>
      </c>
      <c r="I77" s="4"/>
      <c r="J77" s="4" t="s">
        <v>260</v>
      </c>
      <c r="K77" s="4" t="s">
        <v>30</v>
      </c>
      <c r="L77" s="4" t="s">
        <v>21</v>
      </c>
      <c r="M77" s="4" t="s">
        <v>17</v>
      </c>
      <c r="N77" s="4" t="s">
        <v>96</v>
      </c>
    </row>
    <row r="78" spans="1:14" x14ac:dyDescent="0.25">
      <c r="A78" s="2" t="s">
        <v>263</v>
      </c>
      <c r="B78" s="2" t="s">
        <v>264</v>
      </c>
      <c r="C78" s="2" t="s">
        <v>96</v>
      </c>
      <c r="D78" s="2" t="s">
        <v>265</v>
      </c>
      <c r="E78" s="3">
        <f>MIN(E79,E80,E81,E82)</f>
        <v>46270</v>
      </c>
      <c r="F78" s="3">
        <f>MAX(F79,F80,F81,F82)</f>
        <v>46289</v>
      </c>
      <c r="G78" s="2"/>
      <c r="H78" s="2"/>
      <c r="I78" s="2"/>
      <c r="J78" s="2"/>
      <c r="K78" s="2"/>
      <c r="L78" s="2"/>
      <c r="M78" s="2" t="s">
        <v>17</v>
      </c>
      <c r="N78" s="2" t="s">
        <v>96</v>
      </c>
    </row>
    <row r="79" spans="1:14" x14ac:dyDescent="0.25">
      <c r="A79" s="4" t="s">
        <v>266</v>
      </c>
      <c r="B79" s="4" t="s">
        <v>267</v>
      </c>
      <c r="C79" s="4" t="s">
        <v>96</v>
      </c>
      <c r="D79" s="4" t="s">
        <v>268</v>
      </c>
      <c r="E79" s="5">
        <f>MAX(F77)+1</f>
        <v>46270</v>
      </c>
      <c r="F79" s="5">
        <f>MAX(F77)+1+10-1</f>
        <v>46279</v>
      </c>
      <c r="G79" s="4" t="s">
        <v>93</v>
      </c>
      <c r="H79" s="4" t="s">
        <v>255</v>
      </c>
      <c r="I79" s="4"/>
      <c r="J79" s="4"/>
      <c r="K79" s="4" t="s">
        <v>21</v>
      </c>
      <c r="L79" s="4" t="s">
        <v>30</v>
      </c>
      <c r="M79" s="4" t="s">
        <v>17</v>
      </c>
      <c r="N79" s="4" t="s">
        <v>96</v>
      </c>
    </row>
    <row r="80" spans="1:14" x14ac:dyDescent="0.25">
      <c r="A80" s="4" t="s">
        <v>269</v>
      </c>
      <c r="B80" s="4" t="s">
        <v>270</v>
      </c>
      <c r="C80" s="4" t="s">
        <v>96</v>
      </c>
      <c r="D80" s="4" t="s">
        <v>271</v>
      </c>
      <c r="E80" s="5">
        <f>MAX(F79)+1</f>
        <v>46280</v>
      </c>
      <c r="F80" s="5">
        <f>MAX(F79)+1+5-1</f>
        <v>46284</v>
      </c>
      <c r="G80" s="4" t="s">
        <v>38</v>
      </c>
      <c r="H80" s="4" t="s">
        <v>268</v>
      </c>
      <c r="I80" s="4"/>
      <c r="J80" s="4"/>
      <c r="K80" s="4" t="s">
        <v>21</v>
      </c>
      <c r="L80" s="4" t="s">
        <v>30</v>
      </c>
      <c r="M80" s="4" t="s">
        <v>17</v>
      </c>
      <c r="N80" s="4" t="s">
        <v>96</v>
      </c>
    </row>
    <row r="81" spans="1:14" x14ac:dyDescent="0.25">
      <c r="A81" s="4" t="s">
        <v>272</v>
      </c>
      <c r="B81" s="4" t="s">
        <v>273</v>
      </c>
      <c r="C81" s="4" t="s">
        <v>96</v>
      </c>
      <c r="D81" s="4" t="s">
        <v>274</v>
      </c>
      <c r="E81" s="5">
        <f>MAX(F80)+1</f>
        <v>46285</v>
      </c>
      <c r="F81" s="5">
        <f>MAX(F80)+1+3-1</f>
        <v>46287</v>
      </c>
      <c r="G81" s="4" t="s">
        <v>29</v>
      </c>
      <c r="H81" s="4" t="s">
        <v>271</v>
      </c>
      <c r="I81" s="4"/>
      <c r="J81" s="4"/>
      <c r="K81" s="4"/>
      <c r="L81" s="4" t="s">
        <v>30</v>
      </c>
      <c r="M81" s="4" t="s">
        <v>17</v>
      </c>
      <c r="N81" s="4" t="s">
        <v>96</v>
      </c>
    </row>
    <row r="82" spans="1:14" x14ac:dyDescent="0.25">
      <c r="A82" s="4" t="s">
        <v>275</v>
      </c>
      <c r="B82" s="4" t="s">
        <v>276</v>
      </c>
      <c r="C82" s="4" t="s">
        <v>96</v>
      </c>
      <c r="D82" s="4" t="s">
        <v>277</v>
      </c>
      <c r="E82" s="5">
        <f>MAX(F81)+1</f>
        <v>46288</v>
      </c>
      <c r="F82" s="5">
        <f>MAX(F81)+1+2-1</f>
        <v>46289</v>
      </c>
      <c r="G82" s="4" t="s">
        <v>148</v>
      </c>
      <c r="H82" s="4" t="s">
        <v>274</v>
      </c>
      <c r="I82" s="4"/>
      <c r="J82" s="4"/>
      <c r="K82" s="4"/>
      <c r="L82" s="4" t="s">
        <v>30</v>
      </c>
      <c r="M82" s="4" t="s">
        <v>104</v>
      </c>
      <c r="N82" s="4" t="s">
        <v>96</v>
      </c>
    </row>
  </sheetData>
  <phoneticPr fontId="3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Zhuxi</cp:lastModifiedBy>
  <dcterms:created xsi:type="dcterms:W3CDTF">2026-04-15T09:10:01Z</dcterms:created>
  <dcterms:modified xsi:type="dcterms:W3CDTF">2026-04-17T06:42:11Z</dcterms:modified>
</cp:coreProperties>
</file>